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6C1F4C7-F008-443B-B302-D7F69A52943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over" sheetId="1" r:id="rId1"/>
    <sheet name="Test case List" sheetId="2" r:id="rId2"/>
    <sheet name="TestDesign" sheetId="3" r:id="rId3"/>
    <sheet name="Shopping Cart" sheetId="4" r:id="rId4"/>
    <sheet name="Test Report" sheetId="5" r:id="rId5"/>
    <sheet name="Automation Plan" sheetId="6" r:id="rId6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4" i="6" l="1"/>
  <c r="E53" i="6"/>
  <c r="E52" i="6"/>
  <c r="C11" i="5"/>
  <c r="C4" i="5"/>
  <c r="C5" i="5" s="1"/>
  <c r="C3" i="5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F6" i="4" s="1"/>
  <c r="A12" i="4"/>
  <c r="A11" i="4"/>
  <c r="A10" i="4"/>
  <c r="A9" i="4"/>
  <c r="E6" i="4"/>
  <c r="H11" i="5" s="1"/>
  <c r="H15" i="5" s="1"/>
  <c r="D6" i="4"/>
  <c r="G11" i="5" s="1"/>
  <c r="G15" i="5" s="1"/>
  <c r="B6" i="4"/>
  <c r="E11" i="5" s="1"/>
  <c r="E15" i="5" s="1"/>
  <c r="A6" i="4"/>
  <c r="D11" i="5" s="1"/>
  <c r="D15" i="5" s="1"/>
  <c r="D4" i="2"/>
  <c r="D3" i="2"/>
  <c r="C6" i="1"/>
  <c r="E18" i="5" l="1"/>
  <c r="I11" i="5"/>
  <c r="I15" i="5" s="1"/>
  <c r="E17" i="5" s="1"/>
  <c r="C6" i="4"/>
  <c r="F11" i="5" s="1"/>
  <c r="F1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>======
ID#AAAAHWfBFzA
    (2020-11-28 06:09:48)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300-000001000000}">
      <text>
        <r>
          <rPr>
            <sz val="10"/>
            <rFont val="Arial"/>
            <family val="2"/>
          </rPr>
          <t>======
ID#AAAAHWfBFzI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<sst xmlns="http://schemas.openxmlformats.org/spreadsheetml/2006/main" count="487" uniqueCount="287">
  <si>
    <t>TEST CASE</t>
  </si>
  <si>
    <t>Project Name</t>
  </si>
  <si>
    <t>KICAP</t>
  </si>
  <si>
    <t>Creator</t>
  </si>
  <si>
    <t>Ho Ten (22130212)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</si>
  <si>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</si>
  <si>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</si>
  <si>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</si>
  <si>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</si>
  <si>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</si>
  <si>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</si>
  <si>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</si>
  <si>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</si>
  <si>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</si>
  <si>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</si>
  <si>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</si>
  <si>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</si>
  <si>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</si>
  <si>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Tạo test case chức năng Shopping Cart (30 TC)</t>
  </si>
  <si>
    <t>TEST CASE LIST</t>
  </si>
  <si>
    <t>Test Environment Setup Description</t>
  </si>
  <si>
    <t>1. Website: https://kicap.vn (môi trường production, chỉ thao tác thêm giỏ/không đặt hàng thật)
2. Trình duyệt: Google Chrome bản mới nhất (kiểm tra chéo: Firefox, Edge)
3. Hệ điều hành: Windows 10/11; độ phân giải 1920x1080 (kiểm tra thêm mobile 390x844)
4. Dữ liệu test: SP_A = sản phẩm "Có sẵn" có &gt;= 2 phiên bản (V1, V2); SP_B = sản phẩm "Có sẵn" khác; SP_C = sản phẩm "Hết hàng"; SP_D = sản phẩm "Pre-order"; SP_E = sản phẩm đang giảm giá
5. Tài khoản: không cần (test với vai trò khách). Đăng nhập/Đăng ký do thành viên khác phụ trách</t>
  </si>
  <si>
    <t>No</t>
  </si>
  <si>
    <t>Function Name</t>
  </si>
  <si>
    <t>Sheet Name</t>
  </si>
  <si>
    <t>Description</t>
  </si>
  <si>
    <t>Pre-Condition</t>
  </si>
  <si>
    <t>Shopping Cart (Giỏ hàng)</t>
  </si>
  <si>
    <t>Shopping Cart</t>
  </si>
  <si>
    <t>Thêm sản phẩm vào giỏ, thay đổi số lượng, xóa sản phẩm, tính tiền, lưu giỏ, chuyển sang thanh toán</t>
  </si>
  <si>
    <t>Truy cập kicap.vn, chưa đăng nhập; có sản phẩm test SP_A..SP_E</t>
  </si>
  <si>
    <t>Requirement Level 1</t>
  </si>
  <si>
    <t>Requirement Level 2</t>
  </si>
  <si>
    <t>Requirement Level 3</t>
  </si>
  <si>
    <t>Test Criteria</t>
  </si>
  <si>
    <t>Test Type</t>
  </si>
  <si>
    <t>Note</t>
  </si>
  <si>
    <t>6.1 Giỏ hàng (Shopping Cart)</t>
  </si>
  <si>
    <t>Displaying</t>
  </si>
  <si>
    <t>Giỏ hàng trống: mở /cart bằng biểu tượng giỏ  -&gt; [ShoppingCart-1]</t>
  </si>
  <si>
    <t>Function</t>
  </si>
  <si>
    <t>Layout trang giỏ hàng có sản phẩm  -&gt; [ShoppingCart-2]</t>
  </si>
  <si>
    <t>GUI</t>
  </si>
  <si>
    <t>Thông tin sản phẩm trong giỏ khớp trang chi tiết  -&gt; [ShoppingCart-3]</t>
  </si>
  <si>
    <t>Add to cart</t>
  </si>
  <si>
    <t>Thêm sản phẩm "Có sẵn" - popup xác nhận  -&gt; [ShoppingCart-4]</t>
  </si>
  <si>
    <t>Popup: nút [Tiếp tục mua hàng]  -&gt; [ShoppingCart-5]</t>
  </si>
  <si>
    <t>Popup: nút [Kiểm tra giỏ hàng]  -&gt; [ShoppingCart-6]</t>
  </si>
  <si>
    <t>Thêm đúng phiên bản được chọn  -&gt; [ShoppingCart-7]</t>
  </si>
  <si>
    <t>Thêm cùng sản phẩm + cùng phiên bản 2 lần (gộp dòng)  -&gt; [ShoppingCart-8]</t>
  </si>
  <si>
    <t>Equivalence partitioning</t>
  </si>
  <si>
    <t>Add Volunteering Opportunity</t>
  </si>
  <si>
    <t>Thêm cùng sản phẩm + khác phiên bản (tách dòng)  -&gt; [ShoppingCart-9]</t>
  </si>
  <si>
    <t>Thêm 2 sản phẩm khác nhau  -&gt; [ShoppingCart-10]</t>
  </si>
  <si>
    <t>Sản phẩm "Hết hàng"  -&gt; [ShoppingCart-11]</t>
  </si>
  <si>
    <t>Trạng thái sản phẩm</t>
  </si>
  <si>
    <t>Sản phẩm "Pre-order"  -&gt; [ShoppingCart-12]</t>
  </si>
  <si>
    <t>Thêm khi chưa đăng nhập (khách)  -&gt; [ShoppingCart-13]</t>
  </si>
  <si>
    <t>Login/Register do thành viên khác phụ trách</t>
  </si>
  <si>
    <t>Quantity</t>
  </si>
  <si>
    <t>Tăng số lượng bằng nút [+]  -&gt; [ShoppingCart-14]</t>
  </si>
  <si>
    <t>Giảm số lượng bằng nút [-]  -&gt; [ShoppingCart-15]</t>
  </si>
  <si>
    <t>Giảm khi số lượng = 1 (giá trị biên dưới)  -&gt; [ShoppingCart-16]</t>
  </si>
  <si>
    <t>Boundary value</t>
  </si>
  <si>
    <t>Nhập số lượng hợp lệ  -&gt; [ShoppingCart-17]</t>
  </si>
  <si>
    <t>Nhập 0  -&gt; [ShoppingCart-18]</t>
  </si>
  <si>
    <t>Nhập số âm  -&gt; [ShoppingCart-19]</t>
  </si>
  <si>
    <t>Invalid partition</t>
  </si>
  <si>
    <t>Amend Volunteering Opportunity</t>
  </si>
  <si>
    <t>Nhập ký tự chữ  -&gt; [ShoppingCart-20]</t>
  </si>
  <si>
    <t>Nhập số thập phân  -&gt; [ShoppingCart-21]</t>
  </si>
  <si>
    <t>Nhập số lượng vượt tồn kho  -&gt; [ShoppingCart-22]</t>
  </si>
  <si>
    <t>Remove</t>
  </si>
  <si>
    <t>Xóa 1 sản phẩm khỏi giỏ nhiều sản phẩm  -&gt; [ShoppingCart-23]</t>
  </si>
  <si>
    <t>Xóa sản phẩm cuối cùng  -&gt; [ShoppingCart-24]</t>
  </si>
  <si>
    <t>Calculation</t>
  </si>
  <si>
    <t>Thành tiền/tổng tiền với sản phẩm giảm giá  -&gt; [ShoppingCart-25]</t>
  </si>
  <si>
    <t>Persistence</t>
  </si>
  <si>
    <t>Giữ giỏ sau khi tải lại trang  -&gt; [ShoppingCart-26]</t>
  </si>
  <si>
    <t>Mark In-active Volunteering Opportunity</t>
  </si>
  <si>
    <t>Giữ giỏ khi mở tab mới / mở lại trình duyệt  -&gt; [ShoppingCart-27]</t>
  </si>
  <si>
    <t>Số lượng ở biểu tượng giỏ đồng bộ  -&gt; [ShoppingCart-28]</t>
  </si>
  <si>
    <t>6.5.7 Minor Work Projects</t>
  </si>
  <si>
    <t>Checkout</t>
  </si>
  <si>
    <t>Nút [Thanh toán] khi giỏ có sản phẩm  -&gt; [ShoppingCart-29]</t>
  </si>
  <si>
    <t>Chức năng Checkout do thành viên khác/ngoài phạm vi</t>
  </si>
  <si>
    <t>Truy cập thanh toán khi giỏ trống  -&gt; [ShoppingCart-30]</t>
  </si>
  <si>
    <t>Module Code</t>
  </si>
  <si>
    <t>ShoppingCart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</si>
  <si>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</si>
  <si>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</si>
  <si>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</si>
  <si>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</si>
  <si>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</si>
  <si>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</si>
  <si>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</si>
  <si>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</si>
  <si>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</si>
  <si>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</si>
  <si>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</si>
  <si>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</si>
  <si>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</si>
  <si>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</si>
  <si>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</si>
  <si>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Kiểm tra mở trang giỏ hàng khi giỏ trống bằng biểu tượng giỏ ở header</t>
  </si>
  <si>
    <t>Pre-condition:
+ Dùng Chrome, truy cập https://kicap.vn, chưa đăng nhập (khách)
+ SP_A: sản phẩm "Có sẵn" có nhiều phiên bản; SP_B: sản phẩm "Có sẵn" khác
+ Giỏ hàng đang trống
Step:
1. Quan sát biểu tượng giỏ hàng ở header
2. Click biểu tượng giỏ hàng</t>
  </si>
  <si>
    <t>1. Biểu tượng giỏ hiển thị, không có số lượng (hoặc số 0)
2. Chuyển đến trang /cart
   - Hiển thị thông báo giỏ hàng trống
   - Không hiển thị nút [Thanh toán] hoạt động
   - Có liên kết/nút quay lại mua sắm</t>
  </si>
  <si>
    <t>Cần đối chiếu nội dung thông báo giỏ trống trên site thật</t>
  </si>
  <si>
    <t>Kiểm tra giao diện (layout) trang giỏ hàng khi có sản phẩm</t>
  </si>
  <si>
    <t>Pre-condition:
+ Dùng Chrome, truy cập https://kicap.vn, chưa đăng nhập (khách)
+ SP_A: sản phẩm "Có sẵn" có nhiều phiên bản; SP_B: sản phẩm "Có sẵn" khác
+ Giỏ hàng đang trống
Step:
1. Mở trang chi tiết SP_A, click [Thêm vào giỏ hàng]
2. Click [Kiểm tra giỏ hàng]
3. Quan sát bố cục trang /cart</t>
  </si>
  <si>
    <t>1. Popup "Thêm vào giỏ hàng thành công" hiển thị
2. Chuyển đến /cart
3. Mỗi dòng hiển thị: ảnh, tên sản phẩm, phiên bản, đơn giá, số lượng, thành tiền, nút xóa; có phần tổng tiền và nút [Thanh toán]; căn chỉnh, font, màu thống nhất, không vỡ layout</t>
  </si>
  <si>
    <t>Loại GUI</t>
  </si>
  <si>
    <t>Kiểm tra thông tin sản phẩm trong giỏ khớp với trang chi tiết</t>
  </si>
  <si>
    <t>Pre-condition:
+ Dùng Chrome, truy cập https://kicap.vn, chưa đăng nhập (khách)
+ SP_A: sản phẩm "Có sẵn" có nhiều phiên bản; SP_B: sản phẩm "Có sẵn" khác
+ Giỏ hàng đang trống
Step:
1. Mở trang chi tiết SP_A, chọn phiên bản V1, ghi lại tên, giá
2. Click [Thêm vào giỏ hàng]
3. Click [Kiểm tra giỏ hàng]</t>
  </si>
  <si>
    <t>3. Dòng sản phẩm trong giỏ có tên, phiên bản (V1), ảnh và đơn giá trùng với trang chi tiết; số lượng = 1; thành tiền = đơn giá</t>
  </si>
  <si>
    <t>Kiểm tra thêm sản phẩm "Có sẵn" vào giỏ hàng từ trang chi tiết</t>
  </si>
  <si>
    <t>Pre-condition:
+ Dùng Chrome, truy cập https://kicap.vn, chưa đăng nhập (khách)
+ SP_A: sản phẩm "Có sẵn" có nhiều phiên bản; SP_B: sản phẩm "Có sẵn" khác
+ Giỏ hàng đang trống
Step:
1. Mở trang chi tiết SP_A
2. Click [Thêm vào giỏ hàng]
3. Quan sát biểu tượng giỏ hàng ở header</t>
  </si>
  <si>
    <t>2. Hiển thị popup "Thêm vào giỏ hàng thành công" với 2 nút [Tiếp tục mua hàng] và [Kiểm tra giỏ hàng]
3. Biểu tượng giỏ hàng hiển thị số lượng = 1</t>
  </si>
  <si>
    <t>Kiểm tra nút [Tiếp tục mua hàng] trên popup thêm vào giỏ</t>
  </si>
  <si>
    <t>Pre-condition:
+ Dùng Chrome, truy cập https://kicap.vn, chưa đăng nhập (khách)
+ SP_A: sản phẩm "Có sẵn" có nhiều phiên bản; SP_B: sản phẩm "Có sẵn" khác
+ Giỏ hàng đang trống
Step:
1. Mở trang chi tiết SP_A, click [Thêm vào giỏ hàng]
2. Click [Tiếp tục mua hàng]</t>
  </si>
  <si>
    <t>2. Popup đóng, người dùng vẫn ở trang chi tiết SP_A; số lượng trên biểu tượng giỏ vẫn là 1</t>
  </si>
  <si>
    <t>[ShoppingCart-4]</t>
  </si>
  <si>
    <t>Kiểm tra nút [Kiểm tra giỏ hàng] trên popup thêm vào giỏ</t>
  </si>
  <si>
    <t>Pre-condition:
+ Dùng Chrome, truy cập https://kicap.vn, chưa đăng nhập (khách)
+ SP_A: sản phẩm "Có sẵn" có nhiều phiên bản; SP_B: sản phẩm "Có sẵn" khác
+ Giỏ hàng đang trống
Step:
1. Mở trang chi tiết SP_A, click [Thêm vào giỏ hàng]
2. Click [Kiểm tra giỏ hàng]</t>
  </si>
  <si>
    <t>2. Chuyển đến trang /cart, hiển thị SP_A với số lượng 1</t>
  </si>
  <si>
    <t>Kiểm tra thêm sản phẩm có nhiều phiên bản - đúng phiên bản được chọn</t>
  </si>
  <si>
    <t>Pre-condition:
+ Dùng Chrome, truy cập https://kicap.vn, chưa đăng nhập (khách)
+ SP_A: sản phẩm "Có sẵn" có nhiều phiên bản; SP_B: sản phẩm "Có sẵn" khác
+ Giỏ hàng đang trống
Step:
1. Mở trang chi tiết SP_A
2. Chọn phiên bản V2
3. Click [Thêm vào giỏ hàng]
4. Click [Kiểm tra giỏ hàng]</t>
  </si>
  <si>
    <t>4. Giỏ hàng có 1 dòng SP_A đúng phiên bản V2, đơn giá là giá của V2</t>
  </si>
  <si>
    <t>Kiểm tra thêm cùng sản phẩm, cùng phiên bản 2 lần</t>
  </si>
  <si>
    <t>Pre-condition:
+ Dùng Chrome, truy cập https://kicap.vn, chưa đăng nhập (khách)
+ SP_A: sản phẩm "Có sẵn" có nhiều phiên bản; SP_B: sản phẩm "Có sẵn" khác
+ Giỏ hàng đang trống
Step:
1. Mở trang chi tiết SP_A, chọn V1, click [Thêm vào giỏ hàng]
2. Click [Tiếp tục mua hàng]
3. Click [Thêm vào giỏ hàng] lần nữa
4. Click [Kiểm tra giỏ hàng]</t>
  </si>
  <si>
    <t>4. Giỏ hàng chỉ có 1 dòng SP_A - V1 với số lượng = 2 (không tách thành 2 dòng); thành tiền = 2 x đơn giá</t>
  </si>
  <si>
    <t>Kiểm tra thêm cùng sản phẩm nhưng khác phiên bản</t>
  </si>
  <si>
    <t>Pre-condition:
+ Dùng Chrome, truy cập https://kicap.vn, chưa đăng nhập (khách)
+ SP_A: sản phẩm "Có sẵn" có nhiều phiên bản; SP_B: sản phẩm "Có sẵn" khác
+ Giỏ hàng đang trống
Step:
1. Mở trang chi tiết SP_A, chọn V1, click [Thêm vào giỏ hàng]
2. Click [Tiếp tục mua hàng]
3. Chọn V2, click [Thêm vào giỏ hàng]
4. Click [Kiểm tra giỏ hàng]</t>
  </si>
  <si>
    <t>4. Giỏ hàng có 2 dòng riêng: SP_A - V1 (SL 1) và SP_A - V2 (SL 1); tổng tiền = giá V1 + giá V2</t>
  </si>
  <si>
    <t>Kiểm tra thêm 2 sản phẩm khác nhau vào giỏ</t>
  </si>
  <si>
    <t>Pre-condition:
+ Dùng Chrome, truy cập https://kicap.vn, chưa đăng nhập (khách)
+ SP_A: sản phẩm "Có sẵn" có nhiều phiên bản; SP_B: sản phẩm "Có sẵn" khác
+ Giỏ hàng đang trống
Step:
1. Thêm SP_A (V1) vào giỏ
2. Thêm SP_B vào giỏ
3. Click [Kiểm tra giỏ hàng]</t>
  </si>
  <si>
    <t>3. Giỏ hàng có 2 dòng SP_A và SP_B; biểu tượng giỏ hiển thị tổng số lượng = 2; tổng tiền = tổng thành tiền của 2 dòng</t>
  </si>
  <si>
    <t>Kiểm tra thêm sản phẩm "Hết hàng" vào giỏ</t>
  </si>
  <si>
    <t>Pre-condition:
+ Dùng Chrome, truy cập https://kicap.vn, chưa đăng nhập (khách)
+ SP_A: sản phẩm "Có sẵn" có nhiều phiên bản; SP_B: sản phẩm "Có sẵn" khác
+ Giỏ hàng đang trống
Step:
1. Mở trang chi tiết SP_C (trạng thái "Hết hàng")
2. Quan sát nút mua hàng
3. Click nút mua hàng (nếu còn click được)</t>
  </si>
  <si>
    <t>2. Nút [Thêm vào giỏ hàng] bị vô hiệu hóa hoặc đổi thành trạng thái hết hàng
3. Sản phẩm không được thêm vào giỏ; biểu tượng giỏ không đổi</t>
  </si>
  <si>
    <t>Cần xác nhận hành vi thực tế của site với SP hết hàng</t>
  </si>
  <si>
    <t>Kiểm tra thêm sản phẩm "Pre-order" vào giỏ</t>
  </si>
  <si>
    <t>Pre-condition:
+ Dùng Chrome, truy cập https://kicap.vn, chưa đăng nhập (khách)
+ SP_A: sản phẩm "Có sẵn" có nhiều phiên bản; SP_B: sản phẩm "Có sẵn" khác
+ Giỏ hàng đang trống
Step:
1. Mở trang chi tiết SP_D (trạng thái "Pre-order")
2. Click nút mua/đặt trước
3. Click [Kiểm tra giỏ hàng]</t>
  </si>
  <si>
    <t>2. Hiển thị thông báo thêm thành công (hoặc nút đặt trước)
3. SP_D có trong giỏ hàng với đúng giá, số lượng 1</t>
  </si>
  <si>
    <t>Cần xác nhận quy trình Pre-order với đội nghiệp vụ</t>
  </si>
  <si>
    <t>Kiểm tra thêm sản phẩm vào giỏ khi chưa đăng nhập</t>
  </si>
  <si>
    <t>Pre-condition:
+ Dùng Chrome, truy cập https://kicap.vn, chưa đăng nhập (khách)
+ SP_A: sản phẩm "Có sẵn" có nhiều phiên bản; SP_B: sản phẩm "Có sẵn" khác
+ Giỏ hàng đang trống
Step:
1. Xác nhận chưa đăng nhập (header hiển thị [Đăng nhập])
2. Thêm SP_A vào giỏ
3. Click [Kiểm tra giỏ hàng]</t>
  </si>
  <si>
    <t>2. Thêm thành công, không bị yêu cầu đăng nhập
3. Giỏ hàng hiển thị SP_A</t>
  </si>
  <si>
    <t>Kiểm tra tăng số lượng bằng nút [+]</t>
  </si>
  <si>
    <t>Pre-condition:
+ Giỏ hàng có SP_A (V1) số lượng 1
Step:
1. Mở /cart
2. Click nút [+] của SP_A một lần
3. Click nút [+] thêm một lần</t>
  </si>
  <si>
    <t>2. Số lượng = 2; thành tiền = 2 x đơn giá; tổng tiền cập nhật
3. Số lượng = 3; thành tiền = 3 x đơn giá; tổng tiền cập nhật; biểu tượng giỏ ở header cập nhật</t>
  </si>
  <si>
    <t>Kiểm tra giảm số lượng bằng nút [-]</t>
  </si>
  <si>
    <t>Pre-condition:
+ Giỏ hàng có SP_A (V1) số lượng 3
Step:
1. Mở /cart
2. Click nút [-] của SP_A một lần</t>
  </si>
  <si>
    <t>2. Số lượng = 2; thành tiền = 2 x đơn giá; tổng tiền cập nhật</t>
  </si>
  <si>
    <t>[ShoppingCart-14]</t>
  </si>
  <si>
    <t>Kiểm tra giảm số lượng khi đang bằng 1</t>
  </si>
  <si>
    <t>Pre-condition:
+ Giỏ hàng có SP_A (V1) số lượng 1
Step:
1. Mở /cart
2. Click nút [-] của SP_A</t>
  </si>
  <si>
    <t>2. Số lượng giữ nguyên = 1 (không xuống 0/âm) hoặc sản phẩm bị xóa khỏi giỏ theo thiết kế của site</t>
  </si>
  <si>
    <t>Cần xác nhận hành vi thực tế</t>
  </si>
  <si>
    <t>Kiểm tra nhập số lượng hợp lệ vào ô số lượng</t>
  </si>
  <si>
    <t>Pre-condition:
+ Giỏ hàng có SP_A (V1) số lượng 1
Step:
1. Mở /cart
2. Xóa giá trị ô số lượng, nhập 5
3. Nhấn Enter (hoặc click ra ngoài ô)</t>
  </si>
  <si>
    <t>3. Số lượng = 5; thành tiền = 5 x đơn giá; tổng tiền cập nhật</t>
  </si>
  <si>
    <t>Kiểm tra nhập số lượng = 0</t>
  </si>
  <si>
    <t>Pre-condition:
+ Giỏ hàng có SP_A (V1) số lượng 1
Step:
1. Mở /cart
2. Nhập 0 vào ô số lượng
3. Nhấn Enter</t>
  </si>
  <si>
    <t>3. Số lượng không được là 0: hệ thống tự đưa về 1, hoặc xóa sản phẩm khỏi giỏ (có xác nhận); tổng tiền không bị sai</t>
  </si>
  <si>
    <t>Kiểm tra nhập số lượng âm</t>
  </si>
  <si>
    <t>Pre-condition:
+ Giỏ hàng có SP_A (V1) số lượng 1
Step:
1. Mở /cart
2. Nhập -1 vào ô số lượng
3. Nhấn Enter</t>
  </si>
  <si>
    <t>3. Hệ thống không chấp nhận số âm: giữ/đưa về số lượng hợp lệ (&gt;= 1); tổng tiền không âm</t>
  </si>
  <si>
    <t>Kiểm tra nhập ký tự chữ vào ô số lượng</t>
  </si>
  <si>
    <t>Pre-condition:
+ Giỏ hàng có SP_A (V1) số lượng 1
Step:
1. Mở /cart
2. Nhập "abc" vào ô số lượng
3. Nhấn Enter</t>
  </si>
  <si>
    <t>2. Ô số lượng không nhận ký tự chữ (hoặc bị bỏ qua)
3. Số lượng giữ giá trị hợp lệ cũ = 1; không xuất hiện lỗi/trang trắng</t>
  </si>
  <si>
    <t>Kiểm tra nhập số lượng thập phân</t>
  </si>
  <si>
    <t>Pre-condition:
+ Giỏ hàng có SP_A (V1) số lượng 1
Step:
1. Mở /cart
2. Nhập 1.5 vào ô số lượng
3. Nhấn Enter</t>
  </si>
  <si>
    <t>3. Hệ thống không chấp nhận số thập phân: làm tròn/giữ số nguyên hợp lệ; thành tiền tính đúng theo số nguyên</t>
  </si>
  <si>
    <t>Kiểm tra nhập số lượng lớn vượt tồn kho</t>
  </si>
  <si>
    <t>Pre-condition:
+ Giỏ hàng có SP_A (V1) số lượng 1
Step:
1. Mở /cart
2. Nhập 9999 vào ô số lượng
3. Nhấn Enter</t>
  </si>
  <si>
    <t>3. Hiển thị thông báo vượt số lượng tồn kho/giới hạn, số lượng được giới hạn ở mức tối đa cho phép; không báo lỗi hệ thống</t>
  </si>
  <si>
    <t>Cần xác nhận giới hạn tồn kho thực tế</t>
  </si>
  <si>
    <t>Kiểm tra xóa 1 sản phẩm khỏi giỏ có nhiều sản phẩm</t>
  </si>
  <si>
    <t>Pre-condition:
+ Giỏ hàng có SP_A (V1) và SP_B
Step:
1. Mở /cart
2. Click nút xóa của SP_A</t>
  </si>
  <si>
    <t>2. SP_A biến mất khỏi giỏ, SP_B vẫn còn; tổng tiền = thành tiền của SP_B; biểu tượng giỏ cập nhật</t>
  </si>
  <si>
    <t>[ShoppingCart-10]</t>
  </si>
  <si>
    <t>Kiểm tra xóa sản phẩm cuối cùng - giỏ hàng trống</t>
  </si>
  <si>
    <t>Pre-condition:
+ Giỏ hàng chỉ có SP_A (V1)
Step:
1. Mở /cart
2. Click nút xóa của SP_A</t>
  </si>
  <si>
    <t>2. Hiển thị thông báo giỏ hàng trống; biểu tượng giỏ về 0; không còn nút [Thanh toán] hoạt động</t>
  </si>
  <si>
    <t>Kiểm tra thành tiền và tổng tiền với sản phẩm đang giảm giá</t>
  </si>
  <si>
    <t>Pre-condition:
+ SP_E đang giảm giá (hiển thị giá gốc gạch ngang); SP_A giá thường
Step:
1. Thêm SP_E (SL 2) và SP_A (SL 1) vào giỏ
2. Mở /cart và tính tay: tổng = 2 x giá sau giảm của SP_E + giá SP_A</t>
  </si>
  <si>
    <t>2. Đơn giá dùng giá sau giảm; thành tiền từng dòng đúng; tổng tiền khớp giá trị tính tay; định dạng tiền tệ đúng (dấu phân cách, ký hiệu ₫)</t>
  </si>
  <si>
    <t>Kiểm tra giỏ hàng được giữ lại sau khi tải lại trang</t>
  </si>
  <si>
    <t>Pre-condition:
+ Giỏ hàng có SP_A (V1) số lượng 2
Step:
1. Mở /cart
2. Nhấn F5 để tải lại trang</t>
  </si>
  <si>
    <t>2. Giỏ hàng vẫn giữ SP_A (V1) số lượng 2, tổng tiền không đổi</t>
  </si>
  <si>
    <t>Kiểm tra giỏ hàng được giữ lại khi mở tab mới / đóng mở lại trình duyệt</t>
  </si>
  <si>
    <t>Pre-condition:
+ Giỏ hàng có SP_A (V1) số lượng 2
Step:
1. Mở tab mới, truy cập https://kicap.vn/cart
2. Đóng toàn bộ trình duyệt, mở lại và truy cập /cart</t>
  </si>
  <si>
    <t>1. Tab mới hiển thị đúng giỏ hàng (SP_A, SL 2)
2. Giỏ hàng vẫn còn (theo cookie/phiên của site)</t>
  </si>
  <si>
    <t>Cần xác nhận thời gian lưu giỏ hàng</t>
  </si>
  <si>
    <t>Kiểm tra số lượng ở biểu tượng giỏ hàng cập nhật đồng bộ khi thay đổi giỏ</t>
  </si>
  <si>
    <t>Pre-condition:
+ Giỏ hàng trống
Step:
1. Thêm SP_A (SL 1), sau đó thêm SP_B (SL 1)
2. Mở /cart, tăng SL SP_A lên 3
3. Xóa SP_B</t>
  </si>
  <si>
    <t>1. Biểu tượng giỏ: 1 rồi 2
2. Biểu tượng giỏ = 4
3. Biểu tượng giỏ = 3</t>
  </si>
  <si>
    <t>Kiểm tra nút [Thanh toán] khi giỏ có sản phẩm</t>
  </si>
  <si>
    <t>Pre-condition:
+ Giỏ hàng có SP_A (V1) số lượng 1
Step:
1. Mở /cart
2. Click nút [Thanh toán]</t>
  </si>
  <si>
    <t>2. Chuyển đến trang /checkout; thông tin sản phẩm và tổng tiền khớp với giỏ hàng</t>
  </si>
  <si>
    <t>Kiểm tra truy cập thanh toán khi giỏ hàng trống</t>
  </si>
  <si>
    <t>Pre-condition:
+ Dùng Chrome, truy cập https://kicap.vn, chưa đăng nhập (khách)
+ SP_A: sản phẩm "Có sẵn" có nhiều phiên bản; SP_B: sản phẩm "Có sẵn" khác
+ Giỏ hàng đang trống
Step:
1. Truy cập trực tiếp https://kicap.vn/checkout
2. Truy cập https://kicap.vn/cart rồi tìm nút [Thanh toán]</t>
  </si>
  <si>
    <t>1. Hệ thống không cho thanh toán: chuyển về /cart hoặc báo giỏ hàng trống
2. Không có nút [Thanh toán] hoạt động</t>
  </si>
  <si>
    <t>[ShoppingCart-1]</t>
  </si>
  <si>
    <t>TEST REPORT</t>
  </si>
  <si>
    <t>Notes</t>
  </si>
  <si>
    <t>Release 1 gồm 1 module: ShoppingCart (kicap.vn)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</si>
  <si>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</si>
  <si>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</si>
  <si>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</si>
  <si>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</si>
  <si>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</si>
  <si>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</si>
  <si>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</si>
  <si>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</si>
  <si>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AUTOMATION TEST PLAN - Shopping Cart (kicap.vn)</t>
  </si>
  <si>
    <t>Mục tiêu</t>
  </si>
  <si>
    <t>Tự động hóa kiểm thử hồi quy cho chức năng Giỏ hàng; chạy nhanh sau mỗi lần cập nhật website</t>
  </si>
  <si>
    <t>Công cụ (đề xuất)</t>
  </si>
  <si>
    <t>Selenium WebDriver + Java + TestNG + Maven (hoặc Playwright); mô hình Page Object (CartPage, ProductPage, HeaderComponent)</t>
  </si>
  <si>
    <t>Dữ liệu test</t>
  </si>
  <si>
    <t>File CSV/Excel: URL sản phẩm, phiên bản, số lượng, kết quả mong đợi (data-driven)</t>
  </si>
  <si>
    <t>Báo cáo / CI</t>
  </si>
  <si>
    <t>Allure hoặc ExtentReports; GitHub Actions chạy khi push/merge vào nhánh dev</t>
  </si>
  <si>
    <t>Cấu trúc repo</t>
  </si>
  <si>
    <t>src/test/java/{pages,tests,utils} - src/test/resources/testdata - docs/GroupXX_MaSV_HoTen.xlsx</t>
  </si>
  <si>
    <t>Phạm vi không tự động</t>
  </si>
  <si>
    <t>GUI cảm quan (layout), kiểm tra tay cho Pre-order/tồn kho khi chưa có dữ liệu ổn định</t>
  </si>
  <si>
    <t>Quy trình (checklist)</t>
  </si>
  <si>
    <t>[ ] 1. Chốt phạm vi &amp; chọn TC tự động hóa (cột Automate bên dưới)</t>
  </si>
  <si>
    <t>[ ] 2. Dựng project Maven/TestNG, cấu hình WebDriver, đẩy lên nhánh cá nhân</t>
  </si>
  <si>
    <t>[ ] 3. Viết Page Object: ProductPage, CartPage, Header</t>
  </si>
  <si>
    <t>[ ] 4. Viết script cho nhóm TC Priority High (add, qty, remove, total)</t>
  </si>
  <si>
    <t>[ ] 5. Data-driven cho nhóm nhập số lượng (qty_*)</t>
  </si>
  <si>
    <t>[ ] 6. Chạy thử local, sửa locator/wait, chụp ảnh khi fail</t>
  </si>
  <si>
    <t>[ ] 7. Tạo báo cáo (Allure/Extent), cập nhật cột Result trong file test case</t>
  </si>
  <si>
    <t>[ ] 8. Tạo Pull Request nhánh cá nhân -&gt; dev, nhóm trưởng gộp tài liệu GroupXX_TenProject</t>
  </si>
  <si>
    <t>Test case ID</t>
  </si>
  <si>
    <t>Test case</t>
  </si>
  <si>
    <t>Priority</t>
  </si>
  <si>
    <t>Automate</t>
  </si>
  <si>
    <t>Kỹ thuật / ghi chú</t>
  </si>
  <si>
    <t>High</t>
  </si>
  <si>
    <t>Yes</t>
  </si>
  <si>
    <t>[ShoppingCart-2]</t>
  </si>
  <si>
    <t>Low</t>
  </si>
  <si>
    <t>Kiểm tra mắt/visual; có thể bổ sung chụp ảnh so sánh</t>
  </si>
  <si>
    <t>[ShoppingCart-3]</t>
  </si>
  <si>
    <t>[ShoppingCart-5]</t>
  </si>
  <si>
    <t>Medium</t>
  </si>
  <si>
    <t>[ShoppingCart-6]</t>
  </si>
  <si>
    <t>[ShoppingCart-7]</t>
  </si>
  <si>
    <t>[ShoppingCart-8]</t>
  </si>
  <si>
    <t>[ShoppingCart-9]</t>
  </si>
  <si>
    <t>[ShoppingCart-11]</t>
  </si>
  <si>
    <t>Partial</t>
  </si>
  <si>
    <t>Cần SP hết hàng ổn định</t>
  </si>
  <si>
    <t>[ShoppingCart-12]</t>
  </si>
  <si>
    <t>Quy trình Pre-order chưa rõ</t>
  </si>
  <si>
    <t>[ShoppingCart-13]</t>
  </si>
  <si>
    <t>Data-driven (TestNG DataProvider)</t>
  </si>
  <si>
    <t>[ShoppingCart-15]</t>
  </si>
  <si>
    <t>[ShoppingCart-16]</t>
  </si>
  <si>
    <t>[ShoppingCart-17]</t>
  </si>
  <si>
    <t>[ShoppingCart-18]</t>
  </si>
  <si>
    <t>[ShoppingCart-19]</t>
  </si>
  <si>
    <t>[ShoppingCart-20]</t>
  </si>
  <si>
    <t>[ShoppingCart-21]</t>
  </si>
  <si>
    <t>[ShoppingCart-22]</t>
  </si>
  <si>
    <t>Phụ thuộc tồn kho</t>
  </si>
  <si>
    <t>[ShoppingCart-23]</t>
  </si>
  <si>
    <t>[ShoppingCart-24]</t>
  </si>
  <si>
    <t>[ShoppingCart-25]</t>
  </si>
  <si>
    <t>[ShoppingCart-26]</t>
  </si>
  <si>
    <t>[ShoppingCart-27]</t>
  </si>
  <si>
    <t>Đóng/mở trình duyệt dùng 2 session driver</t>
  </si>
  <si>
    <t>[ShoppingCart-28]</t>
  </si>
  <si>
    <t>[ShoppingCart-29]</t>
  </si>
  <si>
    <t>[ShoppingCart-30]</t>
  </si>
  <si>
    <t>Kiểm tra URL redirect</t>
  </si>
  <si>
    <t>Số TC tự động hóa (Yes):</t>
  </si>
  <si>
    <t>Số TC tự động một phần (Partial):</t>
  </si>
  <si>
    <t>Số TC kiểm tra tay (No):</t>
  </si>
  <si>
    <t>Phong</t>
  </si>
  <si>
    <t>Nguyễn Trần Thanh Phong</t>
  </si>
  <si>
    <t>https://github.com/TuanHoangMinh12/Kiem_Thu_Nhom16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</si>
</sst>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26" x14ac:knownFonts="1">
    <font>
      <sz val="11"/>
      <color rgb="FF000000"/>
      <name val="Calibri"/>
      <charset val="1"/>
    </font>
    <font>
      <sz val="10"/>
      <name val="Arial"/>
      <family val="2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0"/>
      <color rgb="FF000000"/>
      <name val="Tahoma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u/>
      <sz val="11"/>
      <color rgb="FF0000FF"/>
      <name val="MS PGothic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b/>
      <sz val="16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i/>
      <u/>
      <sz val="10"/>
      <color rgb="FF0000FF"/>
      <name val="Tahoma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4" fillId="2" borderId="0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/>
    </xf>
    <xf numFmtId="1" fontId="5" fillId="2" borderId="12" xfId="0" applyNumberFormat="1" applyFont="1" applyFill="1" applyBorder="1" applyAlignment="1"/>
    <xf numFmtId="0" fontId="6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2" fillId="2" borderId="0" xfId="0" applyFont="1" applyFill="1" applyAlignment="1"/>
    <xf numFmtId="0" fontId="5" fillId="2" borderId="1" xfId="0" applyFont="1" applyFill="1" applyBorder="1" applyAlignment="1">
      <alignment horizontal="left"/>
    </xf>
    <xf numFmtId="0" fontId="2" fillId="0" borderId="2" xfId="0" applyFont="1" applyBorder="1" applyAlignment="1"/>
    <xf numFmtId="0" fontId="5" fillId="2" borderId="1" xfId="0" applyFont="1" applyFill="1" applyBorder="1" applyAlignment="1">
      <alignment horizontal="left" vertical="center"/>
    </xf>
    <xf numFmtId="164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5" fillId="2" borderId="0" xfId="0" applyFont="1" applyFill="1" applyAlignment="1"/>
    <xf numFmtId="0" fontId="5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5" fontId="7" fillId="3" borderId="3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14" fontId="6" fillId="0" borderId="6" xfId="0" applyNumberFormat="1" applyFont="1" applyBorder="1" applyAlignment="1">
      <alignment vertical="top" wrapText="1"/>
    </xf>
    <xf numFmtId="49" fontId="2" fillId="0" borderId="7" xfId="0" applyNumberFormat="1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6" fillId="0" borderId="8" xfId="0" applyFont="1" applyBorder="1" applyAlignment="1">
      <alignment vertical="top" wrapText="1"/>
    </xf>
    <xf numFmtId="15" fontId="2" fillId="0" borderId="6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5" fontId="2" fillId="0" borderId="9" xfId="0" applyNumberFormat="1" applyFont="1" applyBorder="1" applyAlignment="1">
      <alignment vertical="top"/>
    </xf>
    <xf numFmtId="49" fontId="2" fillId="0" borderId="10" xfId="0" applyNumberFormat="1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1" fontId="2" fillId="2" borderId="0" xfId="0" applyNumberFormat="1" applyFont="1" applyFill="1" applyAlignment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 applyAlignment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vertical="top" wrapText="1"/>
    </xf>
    <xf numFmtId="0" fontId="11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49" fontId="6" fillId="2" borderId="7" xfId="0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7" fillId="2" borderId="15" xfId="0" applyFont="1" applyFill="1" applyBorder="1" applyAlignment="1"/>
    <xf numFmtId="0" fontId="17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18" fillId="2" borderId="0" xfId="0" applyFont="1" applyFill="1" applyAlignment="1">
      <alignment wrapText="1"/>
    </xf>
    <xf numFmtId="0" fontId="17" fillId="2" borderId="0" xfId="0" applyFont="1" applyFill="1" applyAlignment="1"/>
    <xf numFmtId="0" fontId="10" fillId="2" borderId="16" xfId="0" applyFont="1" applyFill="1" applyBorder="1" applyAlignment="1">
      <alignment horizontal="left" wrapText="1"/>
    </xf>
    <xf numFmtId="0" fontId="10" fillId="2" borderId="17" xfId="0" applyFont="1" applyFill="1" applyBorder="1" applyAlignment="1">
      <alignment horizontal="left" wrapText="1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18" fillId="2" borderId="0" xfId="0" applyFont="1" applyFill="1" applyAlignment="1">
      <alignment horizontal="center" wrapText="1"/>
    </xf>
    <xf numFmtId="0" fontId="17" fillId="2" borderId="18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 wrapText="1"/>
    </xf>
    <xf numFmtId="0" fontId="17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0" fontId="18" fillId="2" borderId="0" xfId="0" applyFont="1" applyFill="1" applyAlignment="1"/>
    <xf numFmtId="0" fontId="10" fillId="2" borderId="0" xfId="0" applyFont="1" applyFill="1" applyAlignment="1"/>
    <xf numFmtId="15" fontId="2" fillId="2" borderId="0" xfId="0" applyNumberFormat="1" applyFont="1" applyFill="1" applyAlignment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14" fontId="5" fillId="2" borderId="2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vertical="top"/>
    </xf>
    <xf numFmtId="0" fontId="6" fillId="2" borderId="0" xfId="0" applyFont="1" applyFill="1" applyAlignment="1"/>
    <xf numFmtId="0" fontId="2" fillId="2" borderId="23" xfId="0" applyFont="1" applyFill="1" applyBorder="1" applyAlignment="1"/>
    <xf numFmtId="0" fontId="7" fillId="3" borderId="2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3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/>
    </xf>
    <xf numFmtId="0" fontId="2" fillId="2" borderId="7" xfId="0" applyFont="1" applyFill="1" applyBorder="1" applyAlignment="1"/>
    <xf numFmtId="0" fontId="2" fillId="2" borderId="7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19" fillId="3" borderId="29" xfId="0" applyFont="1" applyFill="1" applyBorder="1" applyAlignment="1">
      <alignment horizontal="center"/>
    </xf>
    <xf numFmtId="0" fontId="7" fillId="3" borderId="10" xfId="0" applyFont="1" applyFill="1" applyBorder="1" applyAlignment="1"/>
    <xf numFmtId="0" fontId="19" fillId="3" borderId="10" xfId="0" applyFont="1" applyFill="1" applyBorder="1" applyAlignment="1">
      <alignment horizontal="center"/>
    </xf>
    <xf numFmtId="0" fontId="19" fillId="3" borderId="3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right" wrapText="1"/>
    </xf>
    <xf numFmtId="0" fontId="21" fillId="0" borderId="0" xfId="0" applyFont="1" applyAlignment="1"/>
    <xf numFmtId="0" fontId="5" fillId="0" borderId="0" xfId="0" applyFont="1" applyAlignment="1"/>
    <xf numFmtId="0" fontId="22" fillId="0" borderId="0" xfId="0" applyFont="1" applyAlignment="1"/>
    <xf numFmtId="0" fontId="7" fillId="3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vertical="top" wrapText="1"/>
    </xf>
    <xf numFmtId="0" fontId="23" fillId="0" borderId="0" xfId="0" applyFont="1" applyAlignment="1"/>
    <xf numFmtId="0" fontId="5" fillId="2" borderId="1" xfId="0" applyFont="1" applyFill="1" applyBorder="1" applyAlignment="1">
      <alignment horizontal="left"/>
    </xf>
    <xf numFmtId="0" fontId="22" fillId="0" borderId="0" xfId="0" applyFont="1" applyBorder="1" applyAlignment="1">
      <alignment vertical="top" wrapText="1"/>
    </xf>
    <xf numFmtId="0" fontId="24" fillId="0" borderId="32" xfId="0" applyFont="1" applyBorder="1" applyAlignment="1">
      <alignment horizontal="left" wrapText="1"/>
    </xf>
    <xf numFmtId="0" fontId="25" fillId="0" borderId="33" xfId="0" applyFont="1" applyBorder="1"/>
    <xf numFmtId="0" fontId="25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17" totalsRowShown="0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github.com/TuanHoangMinh12/Kiem_Thu_Nhom1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Group00_22130212_HoTen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selection activeCell="C5" sqref="C5:E5"/>
    </sheetView>
  </sheetViews>
  <sheetFormatPr defaultColWidth="14.44140625" defaultRowHeight="14.4" x14ac:dyDescent="0.3"/>
  <cols>
    <col min="1" max="1" width="2.5546875" style="13" customWidth="1"/>
    <col min="2" max="2" width="22.44140625" style="13" customWidth="1"/>
    <col min="3" max="3" width="10.5546875" style="13" customWidth="1"/>
    <col min="4" max="4" width="16.5546875" style="13" customWidth="1"/>
    <col min="5" max="5" width="9.109375" style="13" customWidth="1"/>
    <col min="6" max="6" width="35.5546875" style="13" customWidth="1"/>
    <col min="7" max="7" width="35.44140625" style="13" customWidth="1"/>
    <col min="8" max="26" width="9.109375" style="13" customWidth="1"/>
  </cols>
  <sheetData>
    <row r="1" spans="1:26" ht="12.75" customHeight="1" x14ac:dyDescent="0.3">
      <c r="A1" s="14"/>
      <c r="B1" s="15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75.75" customHeight="1" x14ac:dyDescent="0.3">
      <c r="A2" s="16"/>
      <c r="B2" s="12" t="s">
        <v>0</v>
      </c>
      <c r="C2" s="12"/>
      <c r="D2" s="12"/>
      <c r="E2" s="12"/>
      <c r="F2" s="12"/>
      <c r="G2" s="12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3">
      <c r="A3" s="14"/>
      <c r="B3" s="18"/>
      <c r="C3" s="19"/>
      <c r="D3" s="14"/>
      <c r="E3" s="14"/>
      <c r="F3" s="20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 x14ac:dyDescent="0.3">
      <c r="A4" s="14"/>
      <c r="B4" s="21" t="s">
        <v>1</v>
      </c>
      <c r="C4" s="11" t="s">
        <v>2</v>
      </c>
      <c r="D4" s="11"/>
      <c r="E4" s="11"/>
      <c r="F4" s="21" t="s">
        <v>3</v>
      </c>
      <c r="G4" s="22" t="s">
        <v>285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3">
      <c r="A5" s="14"/>
      <c r="B5" s="21" t="s">
        <v>5</v>
      </c>
      <c r="C5" s="140" t="s">
        <v>286</v>
      </c>
      <c r="D5" s="141"/>
      <c r="E5" s="142"/>
      <c r="F5" s="21" t="s">
        <v>6</v>
      </c>
      <c r="G5" s="22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 x14ac:dyDescent="0.3">
      <c r="A6" s="14"/>
      <c r="B6" s="10" t="s">
        <v>7</v>
      </c>
      <c r="C6" s="9" t="str">
        <f>C5&amp;"_TestCase_V0.1"</f>
        <v>https://github.com/TuanHoangMinh12/Kiem_Thu_Nhom16_TestCase_V0.1</v>
      </c>
      <c r="D6" s="9"/>
      <c r="E6" s="9"/>
      <c r="F6" s="21" t="s">
        <v>8</v>
      </c>
      <c r="G6" s="24">
        <v>46318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3.5" customHeight="1" x14ac:dyDescent="0.3">
      <c r="A7" s="14"/>
      <c r="B7" s="10"/>
      <c r="C7" s="9"/>
      <c r="D7" s="9"/>
      <c r="E7" s="9"/>
      <c r="F7" s="21" t="s">
        <v>9</v>
      </c>
      <c r="G7" s="25">
        <v>0.1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customHeight="1" x14ac:dyDescent="0.3">
      <c r="A8" s="14"/>
      <c r="B8" s="26"/>
      <c r="C8" s="19"/>
      <c r="D8" s="14"/>
      <c r="E8" s="14"/>
      <c r="F8" s="18"/>
      <c r="G8" s="19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 x14ac:dyDescent="0.3">
      <c r="A9" s="14"/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 x14ac:dyDescent="0.3">
      <c r="A10" s="14"/>
      <c r="B10" s="27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3">
      <c r="A11" s="28"/>
      <c r="B11" s="29" t="s">
        <v>11</v>
      </c>
      <c r="C11" s="30" t="s">
        <v>9</v>
      </c>
      <c r="D11" s="30" t="s">
        <v>12</v>
      </c>
      <c r="E11" s="30" t="s">
        <v>13</v>
      </c>
      <c r="F11" s="30" t="s">
        <v>14</v>
      </c>
      <c r="G11" s="31" t="s">
        <v>15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32"/>
      <c r="B12" s="33">
        <v>46318</v>
      </c>
      <c r="C12" s="34" t="s">
        <v>16</v>
      </c>
      <c r="D12" s="32"/>
      <c r="E12" s="35" t="s">
        <v>17</v>
      </c>
      <c r="F12" s="35" t="s">
        <v>18</v>
      </c>
      <c r="G12" s="36" t="s">
        <v>284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21.75" customHeight="1" x14ac:dyDescent="0.3">
      <c r="A13" s="32"/>
      <c r="B13" s="37"/>
      <c r="C13" s="34"/>
      <c r="D13" s="35"/>
      <c r="E13" s="35"/>
      <c r="F13" s="35"/>
      <c r="G13" s="38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9.5" customHeight="1" x14ac:dyDescent="0.3">
      <c r="A14" s="32"/>
      <c r="B14" s="37"/>
      <c r="C14" s="34"/>
      <c r="D14" s="35"/>
      <c r="E14" s="35"/>
      <c r="F14" s="35"/>
      <c r="G14" s="38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21.75" customHeight="1" x14ac:dyDescent="0.3">
      <c r="A15" s="32"/>
      <c r="B15" s="37"/>
      <c r="C15" s="34"/>
      <c r="D15" s="35"/>
      <c r="E15" s="35"/>
      <c r="F15" s="35"/>
      <c r="G15" s="38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9.5" customHeight="1" x14ac:dyDescent="0.3">
      <c r="A16" s="32"/>
      <c r="B16" s="37"/>
      <c r="C16" s="34"/>
      <c r="D16" s="35"/>
      <c r="E16" s="35"/>
      <c r="F16" s="35"/>
      <c r="G16" s="38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21.75" customHeight="1" x14ac:dyDescent="0.3">
      <c r="A17" s="32"/>
      <c r="B17" s="37"/>
      <c r="C17" s="34"/>
      <c r="D17" s="35"/>
      <c r="E17" s="35"/>
      <c r="F17" s="35"/>
      <c r="G17" s="38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9.5" customHeight="1" x14ac:dyDescent="0.3">
      <c r="A18" s="32"/>
      <c r="B18" s="39"/>
      <c r="C18" s="40"/>
      <c r="D18" s="41"/>
      <c r="E18" s="41"/>
      <c r="F18" s="41"/>
      <c r="G18" s="4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2.75" customHeight="1" x14ac:dyDescent="0.3">
      <c r="A19" s="14"/>
      <c r="B19" s="1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3">
      <c r="A20" s="14"/>
      <c r="B20" s="1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3">
      <c r="A21" s="14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3">
      <c r="A22" s="14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 x14ac:dyDescent="0.3">
      <c r="A23" s="14"/>
      <c r="B23" s="1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3">
      <c r="A24" s="14"/>
      <c r="B24" s="1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 x14ac:dyDescent="0.3">
      <c r="A25" s="14"/>
      <c r="B25" s="1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 x14ac:dyDescent="0.3">
      <c r="A26" s="14"/>
      <c r="B26" s="1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 x14ac:dyDescent="0.3">
      <c r="A27" s="14"/>
      <c r="B27" s="1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 x14ac:dyDescent="0.3">
      <c r="A28" s="14"/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 x14ac:dyDescent="0.3">
      <c r="A29" s="14"/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 x14ac:dyDescent="0.3">
      <c r="A30" s="14"/>
      <c r="B30" s="1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2.75" customHeight="1" x14ac:dyDescent="0.3">
      <c r="A31" s="14"/>
      <c r="B31" s="1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 x14ac:dyDescent="0.3">
      <c r="A32" s="14"/>
      <c r="B32" s="1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 x14ac:dyDescent="0.3">
      <c r="A33" s="14"/>
      <c r="B33" s="1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 x14ac:dyDescent="0.3">
      <c r="A34" s="14"/>
      <c r="B34" s="1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 x14ac:dyDescent="0.3">
      <c r="A35" s="14"/>
      <c r="B35" s="1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x14ac:dyDescent="0.3">
      <c r="A36" s="14"/>
      <c r="B36" s="1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 customHeight="1" x14ac:dyDescent="0.3">
      <c r="A37" s="14"/>
      <c r="B37" s="1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 x14ac:dyDescent="0.3">
      <c r="A38" s="14"/>
      <c r="B38" s="1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 x14ac:dyDescent="0.3">
      <c r="A39" s="14"/>
      <c r="B39" s="1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 x14ac:dyDescent="0.3">
      <c r="A40" s="14"/>
      <c r="B40" s="1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 x14ac:dyDescent="0.3">
      <c r="A41" s="14"/>
      <c r="B41" s="1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 x14ac:dyDescent="0.3">
      <c r="A42" s="14"/>
      <c r="B42" s="1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 x14ac:dyDescent="0.3">
      <c r="A43" s="14"/>
      <c r="B43" s="1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 x14ac:dyDescent="0.3">
      <c r="A44" s="14"/>
      <c r="B44" s="1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 x14ac:dyDescent="0.3">
      <c r="A45" s="14"/>
      <c r="B45" s="1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3">
      <c r="A46" s="14"/>
      <c r="B46" s="1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3">
      <c r="A47" s="14"/>
      <c r="B47" s="1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3">
      <c r="A48" s="14"/>
      <c r="B48" s="1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 x14ac:dyDescent="0.3">
      <c r="A49" s="14"/>
      <c r="B49" s="1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 x14ac:dyDescent="0.3">
      <c r="A50" s="14"/>
      <c r="B50" s="1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 x14ac:dyDescent="0.3">
      <c r="A51" s="14"/>
      <c r="B51" s="1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 x14ac:dyDescent="0.3">
      <c r="A52" s="14"/>
      <c r="B52" s="1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 x14ac:dyDescent="0.3">
      <c r="A53" s="14"/>
      <c r="B53" s="1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 x14ac:dyDescent="0.3">
      <c r="A54" s="14"/>
      <c r="B54" s="1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 x14ac:dyDescent="0.3">
      <c r="A55" s="14"/>
      <c r="B55" s="1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 x14ac:dyDescent="0.3">
      <c r="A56" s="14"/>
      <c r="B56" s="1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 x14ac:dyDescent="0.3">
      <c r="A57" s="14"/>
      <c r="B57" s="1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 x14ac:dyDescent="0.3">
      <c r="A58" s="14"/>
      <c r="B58" s="1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 x14ac:dyDescent="0.3">
      <c r="A59" s="14"/>
      <c r="B59" s="1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 x14ac:dyDescent="0.3">
      <c r="A60" s="14"/>
      <c r="B60" s="1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 x14ac:dyDescent="0.3">
      <c r="A61" s="14"/>
      <c r="B61" s="1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 x14ac:dyDescent="0.3">
      <c r="A62" s="14"/>
      <c r="B62" s="1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 x14ac:dyDescent="0.3">
      <c r="A63" s="14"/>
      <c r="B63" s="1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 x14ac:dyDescent="0.3">
      <c r="A64" s="14"/>
      <c r="B64" s="1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 x14ac:dyDescent="0.3">
      <c r="A65" s="14"/>
      <c r="B65" s="1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 x14ac:dyDescent="0.3">
      <c r="A66" s="14"/>
      <c r="B66" s="1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3">
      <c r="A67" s="14"/>
      <c r="B67" s="1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3">
      <c r="A68" s="14"/>
      <c r="B68" s="1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3">
      <c r="A69" s="14"/>
      <c r="B69" s="1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3">
      <c r="A70" s="14"/>
      <c r="B70" s="1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3">
      <c r="A71" s="14"/>
      <c r="B71" s="1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 x14ac:dyDescent="0.3">
      <c r="A72" s="14"/>
      <c r="B72" s="1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 x14ac:dyDescent="0.3">
      <c r="A73" s="14"/>
      <c r="B73" s="1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 x14ac:dyDescent="0.3">
      <c r="A74" s="14"/>
      <c r="B74" s="1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 x14ac:dyDescent="0.3">
      <c r="A75" s="14"/>
      <c r="B75" s="1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 x14ac:dyDescent="0.3">
      <c r="A76" s="14"/>
      <c r="B76" s="1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 x14ac:dyDescent="0.3">
      <c r="A77" s="14"/>
      <c r="B77" s="1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 x14ac:dyDescent="0.3">
      <c r="A78" s="14"/>
      <c r="B78" s="1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 x14ac:dyDescent="0.3">
      <c r="A79" s="14"/>
      <c r="B79" s="1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 x14ac:dyDescent="0.3">
      <c r="A80" s="14"/>
      <c r="B80" s="1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 x14ac:dyDescent="0.3">
      <c r="A81" s="14"/>
      <c r="B81" s="1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 x14ac:dyDescent="0.3">
      <c r="A82" s="14"/>
      <c r="B82" s="1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 x14ac:dyDescent="0.3">
      <c r="A83" s="14"/>
      <c r="B83" s="1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 x14ac:dyDescent="0.3">
      <c r="A84" s="14"/>
      <c r="B84" s="1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 x14ac:dyDescent="0.3">
      <c r="A85" s="14"/>
      <c r="B85" s="1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 x14ac:dyDescent="0.3">
      <c r="A86" s="14"/>
      <c r="B86" s="1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 x14ac:dyDescent="0.3">
      <c r="A87" s="14"/>
      <c r="B87" s="1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 x14ac:dyDescent="0.3">
      <c r="A88" s="14"/>
      <c r="B88" s="1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 x14ac:dyDescent="0.3">
      <c r="A89" s="14"/>
      <c r="B89" s="1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 x14ac:dyDescent="0.3">
      <c r="A90" s="14"/>
      <c r="B90" s="1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 x14ac:dyDescent="0.3">
      <c r="A91" s="14"/>
      <c r="B91" s="1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 x14ac:dyDescent="0.3">
      <c r="A92" s="14"/>
      <c r="B92" s="1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 x14ac:dyDescent="0.3">
      <c r="A93" s="14"/>
      <c r="B93" s="1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 x14ac:dyDescent="0.3">
      <c r="A94" s="14"/>
      <c r="B94" s="1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 x14ac:dyDescent="0.3">
      <c r="A95" s="14"/>
      <c r="B95" s="1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 x14ac:dyDescent="0.3">
      <c r="A96" s="14"/>
      <c r="B96" s="1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 x14ac:dyDescent="0.3">
      <c r="A97" s="14"/>
      <c r="B97" s="1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 x14ac:dyDescent="0.3">
      <c r="A98" s="14"/>
      <c r="B98" s="1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 x14ac:dyDescent="0.3">
      <c r="A99" s="14"/>
      <c r="B99" s="1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 x14ac:dyDescent="0.3">
      <c r="A100" s="14"/>
      <c r="B100" s="1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 x14ac:dyDescent="0.3">
      <c r="A101" s="14"/>
      <c r="B101" s="1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 x14ac:dyDescent="0.3">
      <c r="A102" s="14"/>
      <c r="B102" s="1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 x14ac:dyDescent="0.3">
      <c r="A103" s="14"/>
      <c r="B103" s="1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 x14ac:dyDescent="0.3">
      <c r="A104" s="14"/>
      <c r="B104" s="1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 x14ac:dyDescent="0.3">
      <c r="A105" s="14"/>
      <c r="B105" s="1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 x14ac:dyDescent="0.3">
      <c r="A106" s="14"/>
      <c r="B106" s="1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 x14ac:dyDescent="0.3">
      <c r="A107" s="14"/>
      <c r="B107" s="1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 x14ac:dyDescent="0.3">
      <c r="A108" s="14"/>
      <c r="B108" s="1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 x14ac:dyDescent="0.3">
      <c r="A109" s="14"/>
      <c r="B109" s="1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 x14ac:dyDescent="0.3">
      <c r="A110" s="14"/>
      <c r="B110" s="1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 x14ac:dyDescent="0.3">
      <c r="A111" s="14"/>
      <c r="B111" s="1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 x14ac:dyDescent="0.3">
      <c r="A112" s="14"/>
      <c r="B112" s="1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 x14ac:dyDescent="0.3">
      <c r="A113" s="14"/>
      <c r="B113" s="1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75" customHeight="1" x14ac:dyDescent="0.3">
      <c r="A114" s="14"/>
      <c r="B114" s="1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 x14ac:dyDescent="0.3">
      <c r="A115" s="14"/>
      <c r="B115" s="1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 x14ac:dyDescent="0.3">
      <c r="A116" s="14"/>
      <c r="B116" s="1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 x14ac:dyDescent="0.3">
      <c r="A117" s="14"/>
      <c r="B117" s="1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 x14ac:dyDescent="0.3">
      <c r="A118" s="14"/>
      <c r="B118" s="1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 x14ac:dyDescent="0.3">
      <c r="A119" s="14"/>
      <c r="B119" s="1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 x14ac:dyDescent="0.3">
      <c r="A120" s="14"/>
      <c r="B120" s="1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 x14ac:dyDescent="0.3">
      <c r="A121" s="14"/>
      <c r="B121" s="1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 x14ac:dyDescent="0.3">
      <c r="A122" s="14"/>
      <c r="B122" s="1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 x14ac:dyDescent="0.3">
      <c r="A123" s="14"/>
      <c r="B123" s="1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 x14ac:dyDescent="0.3">
      <c r="A124" s="14"/>
      <c r="B124" s="1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 x14ac:dyDescent="0.3">
      <c r="A125" s="14"/>
      <c r="B125" s="1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 x14ac:dyDescent="0.3">
      <c r="A126" s="14"/>
      <c r="B126" s="1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 x14ac:dyDescent="0.3">
      <c r="A127" s="14"/>
      <c r="B127" s="1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 x14ac:dyDescent="0.3">
      <c r="A128" s="14"/>
      <c r="B128" s="1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 x14ac:dyDescent="0.3">
      <c r="A129" s="14"/>
      <c r="B129" s="1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 x14ac:dyDescent="0.3">
      <c r="A130" s="14"/>
      <c r="B130" s="1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 x14ac:dyDescent="0.3">
      <c r="A131" s="14"/>
      <c r="B131" s="1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 x14ac:dyDescent="0.3">
      <c r="A132" s="14"/>
      <c r="B132" s="1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 x14ac:dyDescent="0.3">
      <c r="A133" s="14"/>
      <c r="B133" s="1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 x14ac:dyDescent="0.3">
      <c r="A134" s="14"/>
      <c r="B134" s="1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 x14ac:dyDescent="0.3">
      <c r="A135" s="14"/>
      <c r="B135" s="1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 x14ac:dyDescent="0.3">
      <c r="A136" s="14"/>
      <c r="B136" s="1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 x14ac:dyDescent="0.3">
      <c r="A137" s="14"/>
      <c r="B137" s="1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 x14ac:dyDescent="0.3">
      <c r="A138" s="14"/>
      <c r="B138" s="1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 x14ac:dyDescent="0.3">
      <c r="A139" s="14"/>
      <c r="B139" s="1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 x14ac:dyDescent="0.3">
      <c r="A140" s="14"/>
      <c r="B140" s="1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 x14ac:dyDescent="0.3">
      <c r="A141" s="14"/>
      <c r="B141" s="1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 x14ac:dyDescent="0.3">
      <c r="A142" s="14"/>
      <c r="B142" s="1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 x14ac:dyDescent="0.3">
      <c r="A143" s="14"/>
      <c r="B143" s="1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 x14ac:dyDescent="0.3">
      <c r="A144" s="14"/>
      <c r="B144" s="1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 x14ac:dyDescent="0.3">
      <c r="A145" s="14"/>
      <c r="B145" s="1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 x14ac:dyDescent="0.3">
      <c r="A146" s="14"/>
      <c r="B146" s="1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 x14ac:dyDescent="0.3">
      <c r="A147" s="14"/>
      <c r="B147" s="1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 x14ac:dyDescent="0.3">
      <c r="A148" s="14"/>
      <c r="B148" s="1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 x14ac:dyDescent="0.3">
      <c r="A149" s="14"/>
      <c r="B149" s="1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 x14ac:dyDescent="0.3">
      <c r="A150" s="14"/>
      <c r="B150" s="1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 x14ac:dyDescent="0.3">
      <c r="A151" s="14"/>
      <c r="B151" s="1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75" customHeight="1" x14ac:dyDescent="0.3">
      <c r="A152" s="14"/>
      <c r="B152" s="1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75" customHeight="1" x14ac:dyDescent="0.3">
      <c r="A153" s="14"/>
      <c r="B153" s="1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75" customHeight="1" x14ac:dyDescent="0.3">
      <c r="A154" s="14"/>
      <c r="B154" s="1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75" customHeight="1" x14ac:dyDescent="0.3">
      <c r="A155" s="14"/>
      <c r="B155" s="1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75" customHeight="1" x14ac:dyDescent="0.3">
      <c r="A156" s="14"/>
      <c r="B156" s="1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75" customHeight="1" x14ac:dyDescent="0.3">
      <c r="A157" s="14"/>
      <c r="B157" s="1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75" customHeight="1" x14ac:dyDescent="0.3">
      <c r="A158" s="14"/>
      <c r="B158" s="1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75" customHeight="1" x14ac:dyDescent="0.3">
      <c r="A159" s="14"/>
      <c r="B159" s="1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75" customHeight="1" x14ac:dyDescent="0.3">
      <c r="A160" s="14"/>
      <c r="B160" s="1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75" customHeight="1" x14ac:dyDescent="0.3">
      <c r="A161" s="14"/>
      <c r="B161" s="1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75" customHeight="1" x14ac:dyDescent="0.3">
      <c r="A162" s="14"/>
      <c r="B162" s="1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75" customHeight="1" x14ac:dyDescent="0.3">
      <c r="A163" s="14"/>
      <c r="B163" s="1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75" customHeight="1" x14ac:dyDescent="0.3">
      <c r="A164" s="14"/>
      <c r="B164" s="1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75" customHeight="1" x14ac:dyDescent="0.3">
      <c r="A165" s="14"/>
      <c r="B165" s="1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75" customHeight="1" x14ac:dyDescent="0.3">
      <c r="A166" s="14"/>
      <c r="B166" s="1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75" customHeight="1" x14ac:dyDescent="0.3">
      <c r="A167" s="14"/>
      <c r="B167" s="1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75" customHeight="1" x14ac:dyDescent="0.3">
      <c r="A168" s="14"/>
      <c r="B168" s="1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75" customHeight="1" x14ac:dyDescent="0.3">
      <c r="A169" s="14"/>
      <c r="B169" s="1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75" customHeight="1" x14ac:dyDescent="0.3">
      <c r="A170" s="14"/>
      <c r="B170" s="1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 x14ac:dyDescent="0.3">
      <c r="A171" s="14"/>
      <c r="B171" s="1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75" customHeight="1" x14ac:dyDescent="0.3">
      <c r="A172" s="14"/>
      <c r="B172" s="1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 x14ac:dyDescent="0.3">
      <c r="A173" s="14"/>
      <c r="B173" s="1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 x14ac:dyDescent="0.3">
      <c r="A174" s="14"/>
      <c r="B174" s="1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 x14ac:dyDescent="0.3">
      <c r="A175" s="14"/>
      <c r="B175" s="1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 x14ac:dyDescent="0.3">
      <c r="A176" s="14"/>
      <c r="B176" s="1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 x14ac:dyDescent="0.3">
      <c r="A177" s="14"/>
      <c r="B177" s="1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 x14ac:dyDescent="0.3">
      <c r="A178" s="14"/>
      <c r="B178" s="1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 x14ac:dyDescent="0.3">
      <c r="A179" s="14"/>
      <c r="B179" s="1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 x14ac:dyDescent="0.3">
      <c r="A180" s="14"/>
      <c r="B180" s="1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 x14ac:dyDescent="0.3">
      <c r="A181" s="14"/>
      <c r="B181" s="1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 x14ac:dyDescent="0.3">
      <c r="A182" s="14"/>
      <c r="B182" s="1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 x14ac:dyDescent="0.3">
      <c r="A183" s="14"/>
      <c r="B183" s="1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 x14ac:dyDescent="0.3">
      <c r="A184" s="14"/>
      <c r="B184" s="1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 x14ac:dyDescent="0.3">
      <c r="A185" s="14"/>
      <c r="B185" s="1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 x14ac:dyDescent="0.3">
      <c r="A186" s="14"/>
      <c r="B186" s="1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 x14ac:dyDescent="0.3">
      <c r="A187" s="14"/>
      <c r="B187" s="1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 x14ac:dyDescent="0.3">
      <c r="A188" s="14"/>
      <c r="B188" s="1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 x14ac:dyDescent="0.3">
      <c r="A189" s="14"/>
      <c r="B189" s="1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 x14ac:dyDescent="0.3">
      <c r="A190" s="14"/>
      <c r="B190" s="1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 x14ac:dyDescent="0.3">
      <c r="A191" s="14"/>
      <c r="B191" s="1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 x14ac:dyDescent="0.3">
      <c r="A192" s="14"/>
      <c r="B192" s="1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 x14ac:dyDescent="0.3">
      <c r="A193" s="14"/>
      <c r="B193" s="1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 x14ac:dyDescent="0.3">
      <c r="A194" s="14"/>
      <c r="B194" s="1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 x14ac:dyDescent="0.3">
      <c r="A195" s="14"/>
      <c r="B195" s="1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 x14ac:dyDescent="0.3">
      <c r="A196" s="14"/>
      <c r="B196" s="1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 x14ac:dyDescent="0.3">
      <c r="A197" s="14"/>
      <c r="B197" s="1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 x14ac:dyDescent="0.3">
      <c r="A198" s="14"/>
      <c r="B198" s="1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 x14ac:dyDescent="0.3">
      <c r="A199" s="14"/>
      <c r="B199" s="1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 x14ac:dyDescent="0.3">
      <c r="A200" s="14"/>
      <c r="B200" s="1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 x14ac:dyDescent="0.3">
      <c r="A201" s="14"/>
      <c r="B201" s="1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75" customHeight="1" x14ac:dyDescent="0.3">
      <c r="A202" s="14"/>
      <c r="B202" s="1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75" customHeight="1" x14ac:dyDescent="0.3">
      <c r="A203" s="14"/>
      <c r="B203" s="1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75" customHeight="1" x14ac:dyDescent="0.3">
      <c r="A204" s="14"/>
      <c r="B204" s="1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75" customHeight="1" x14ac:dyDescent="0.3">
      <c r="A205" s="14"/>
      <c r="B205" s="1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75" customHeight="1" x14ac:dyDescent="0.3">
      <c r="A206" s="14"/>
      <c r="B206" s="1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75" customHeight="1" x14ac:dyDescent="0.3">
      <c r="A207" s="14"/>
      <c r="B207" s="1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75" customHeight="1" x14ac:dyDescent="0.3">
      <c r="A208" s="14"/>
      <c r="B208" s="1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75" customHeight="1" x14ac:dyDescent="0.3">
      <c r="A209" s="14"/>
      <c r="B209" s="1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75" customHeight="1" x14ac:dyDescent="0.3">
      <c r="A210" s="14"/>
      <c r="B210" s="1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75" customHeight="1" x14ac:dyDescent="0.3">
      <c r="A211" s="14"/>
      <c r="B211" s="1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75" customHeight="1" x14ac:dyDescent="0.3">
      <c r="A212" s="14"/>
      <c r="B212" s="1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75" customHeight="1" x14ac:dyDescent="0.3">
      <c r="A213" s="14"/>
      <c r="B213" s="1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75" customHeight="1" x14ac:dyDescent="0.3">
      <c r="A214" s="14"/>
      <c r="B214" s="1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75" customHeight="1" x14ac:dyDescent="0.3">
      <c r="A215" s="14"/>
      <c r="B215" s="1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75" customHeight="1" x14ac:dyDescent="0.3">
      <c r="A216" s="14"/>
      <c r="B216" s="1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75" customHeight="1" x14ac:dyDescent="0.3">
      <c r="A217" s="14"/>
      <c r="B217" s="1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75" customHeight="1" x14ac:dyDescent="0.3">
      <c r="A218" s="14"/>
      <c r="B218" s="1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 x14ac:dyDescent="0.3">
      <c r="A219" s="14"/>
      <c r="B219" s="1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 x14ac:dyDescent="0.3">
      <c r="A220" s="14"/>
      <c r="B220" s="1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 x14ac:dyDescent="0.3">
      <c r="A221" s="14"/>
      <c r="B221" s="15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 x14ac:dyDescent="0.3">
      <c r="A222" s="14"/>
      <c r="B222" s="15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 x14ac:dyDescent="0.3">
      <c r="A223" s="14"/>
      <c r="B223" s="15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 x14ac:dyDescent="0.3">
      <c r="A224" s="14"/>
      <c r="B224" s="15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 x14ac:dyDescent="0.3">
      <c r="A225" s="14"/>
      <c r="B225" s="15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 x14ac:dyDescent="0.3">
      <c r="A226" s="14"/>
      <c r="B226" s="15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 x14ac:dyDescent="0.3">
      <c r="A227" s="14"/>
      <c r="B227" s="15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 x14ac:dyDescent="0.3">
      <c r="A228" s="14"/>
      <c r="B228" s="15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 x14ac:dyDescent="0.3">
      <c r="A229" s="14"/>
      <c r="B229" s="15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 x14ac:dyDescent="0.3">
      <c r="A230" s="14"/>
      <c r="B230" s="15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 x14ac:dyDescent="0.3">
      <c r="A231" s="14"/>
      <c r="B231" s="15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 x14ac:dyDescent="0.3">
      <c r="A232" s="14"/>
      <c r="B232" s="15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 x14ac:dyDescent="0.3">
      <c r="A233" s="14"/>
      <c r="B233" s="15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 x14ac:dyDescent="0.3">
      <c r="A234" s="14"/>
      <c r="B234" s="15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 x14ac:dyDescent="0.3">
      <c r="A235" s="14"/>
      <c r="B235" s="15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 x14ac:dyDescent="0.3">
      <c r="A236" s="14"/>
      <c r="B236" s="15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75" customHeight="1" x14ac:dyDescent="0.3">
      <c r="A237" s="14"/>
      <c r="B237" s="15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75" customHeight="1" x14ac:dyDescent="0.3">
      <c r="A238" s="14"/>
      <c r="B238" s="15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75" customHeight="1" x14ac:dyDescent="0.3">
      <c r="A239" s="14"/>
      <c r="B239" s="15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75" customHeight="1" x14ac:dyDescent="0.3">
      <c r="A240" s="14"/>
      <c r="B240" s="15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75" customHeight="1" x14ac:dyDescent="0.3">
      <c r="A241" s="14"/>
      <c r="B241" s="15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75" customHeight="1" x14ac:dyDescent="0.3">
      <c r="A242" s="14"/>
      <c r="B242" s="15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75" customHeight="1" x14ac:dyDescent="0.3">
      <c r="A243" s="14"/>
      <c r="B243" s="15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75" customHeight="1" x14ac:dyDescent="0.3">
      <c r="A244" s="14"/>
      <c r="B244" s="15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75" customHeight="1" x14ac:dyDescent="0.3">
      <c r="A245" s="14"/>
      <c r="B245" s="15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75" customHeight="1" x14ac:dyDescent="0.3">
      <c r="A246" s="14"/>
      <c r="B246" s="15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75" customHeight="1" x14ac:dyDescent="0.3">
      <c r="A247" s="14"/>
      <c r="B247" s="15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75" customHeight="1" x14ac:dyDescent="0.3">
      <c r="A248" s="14"/>
      <c r="B248" s="15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75" customHeight="1" x14ac:dyDescent="0.3">
      <c r="A249" s="14"/>
      <c r="B249" s="15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2.75" customHeight="1" x14ac:dyDescent="0.3">
      <c r="A250" s="14"/>
      <c r="B250" s="15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2.75" customHeight="1" x14ac:dyDescent="0.3">
      <c r="A251" s="14"/>
      <c r="B251" s="15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2.75" customHeight="1" x14ac:dyDescent="0.3">
      <c r="A252" s="14"/>
      <c r="B252" s="15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2.75" customHeight="1" x14ac:dyDescent="0.3">
      <c r="A253" s="14"/>
      <c r="B253" s="15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2.75" customHeight="1" x14ac:dyDescent="0.3">
      <c r="A254" s="14"/>
      <c r="B254" s="15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2.75" customHeight="1" x14ac:dyDescent="0.3">
      <c r="A255" s="14"/>
      <c r="B255" s="15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2.75" customHeight="1" x14ac:dyDescent="0.3">
      <c r="A256" s="14"/>
      <c r="B256" s="15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2.75" customHeight="1" x14ac:dyDescent="0.3">
      <c r="A257" s="14"/>
      <c r="B257" s="15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2.75" customHeight="1" x14ac:dyDescent="0.3">
      <c r="A258" s="14"/>
      <c r="B258" s="15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.75" customHeight="1" x14ac:dyDescent="0.3">
      <c r="A259" s="14"/>
      <c r="B259" s="15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2.75" customHeight="1" x14ac:dyDescent="0.3">
      <c r="A260" s="14"/>
      <c r="B260" s="15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2.75" customHeight="1" x14ac:dyDescent="0.3">
      <c r="A261" s="14"/>
      <c r="B261" s="15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2.75" customHeight="1" x14ac:dyDescent="0.3">
      <c r="A262" s="14"/>
      <c r="B262" s="15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2.75" customHeight="1" x14ac:dyDescent="0.3">
      <c r="A263" s="14"/>
      <c r="B263" s="15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2.75" customHeight="1" x14ac:dyDescent="0.3">
      <c r="A264" s="14"/>
      <c r="B264" s="15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2.75" customHeight="1" x14ac:dyDescent="0.3">
      <c r="A265" s="14"/>
      <c r="B265" s="15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.75" customHeight="1" x14ac:dyDescent="0.3">
      <c r="A266" s="14"/>
      <c r="B266" s="15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2.75" customHeight="1" x14ac:dyDescent="0.3">
      <c r="A267" s="14"/>
      <c r="B267" s="15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75" customHeight="1" x14ac:dyDescent="0.3">
      <c r="A268" s="14"/>
      <c r="B268" s="15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2.75" customHeight="1" x14ac:dyDescent="0.3">
      <c r="A269" s="14"/>
      <c r="B269" s="15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2.75" customHeight="1" x14ac:dyDescent="0.3">
      <c r="A270" s="14"/>
      <c r="B270" s="15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2.75" customHeight="1" x14ac:dyDescent="0.3">
      <c r="A271" s="14"/>
      <c r="B271" s="15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2.75" customHeight="1" x14ac:dyDescent="0.3">
      <c r="A272" s="14"/>
      <c r="B272" s="15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2.75" customHeight="1" x14ac:dyDescent="0.3">
      <c r="A273" s="14"/>
      <c r="B273" s="15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2.75" customHeight="1" x14ac:dyDescent="0.3">
      <c r="A274" s="14"/>
      <c r="B274" s="15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2.75" customHeight="1" x14ac:dyDescent="0.3">
      <c r="A275" s="14"/>
      <c r="B275" s="15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2.75" customHeight="1" x14ac:dyDescent="0.3">
      <c r="A276" s="14"/>
      <c r="B276" s="15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2.75" customHeight="1" x14ac:dyDescent="0.3">
      <c r="A277" s="14"/>
      <c r="B277" s="15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2.75" customHeight="1" x14ac:dyDescent="0.3">
      <c r="A278" s="14"/>
      <c r="B278" s="15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2.75" customHeight="1" x14ac:dyDescent="0.3">
      <c r="A279" s="14"/>
      <c r="B279" s="15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2.75" customHeight="1" x14ac:dyDescent="0.3">
      <c r="A280" s="14"/>
      <c r="B280" s="15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2.75" customHeight="1" x14ac:dyDescent="0.3">
      <c r="A281" s="14"/>
      <c r="B281" s="15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2.75" customHeight="1" x14ac:dyDescent="0.3">
      <c r="A282" s="14"/>
      <c r="B282" s="15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2.75" customHeight="1" x14ac:dyDescent="0.3">
      <c r="A283" s="14"/>
      <c r="B283" s="15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2.75" customHeight="1" x14ac:dyDescent="0.3">
      <c r="A284" s="14"/>
      <c r="B284" s="15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2.75" customHeight="1" x14ac:dyDescent="0.3">
      <c r="A285" s="14"/>
      <c r="B285" s="15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2.75" customHeight="1" x14ac:dyDescent="0.3">
      <c r="A286" s="14"/>
      <c r="B286" s="15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2.75" customHeight="1" x14ac:dyDescent="0.3">
      <c r="A287" s="14"/>
      <c r="B287" s="15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2.75" customHeight="1" x14ac:dyDescent="0.3">
      <c r="A288" s="14"/>
      <c r="B288" s="15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2.75" customHeight="1" x14ac:dyDescent="0.3">
      <c r="A289" s="14"/>
      <c r="B289" s="15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2.75" customHeight="1" x14ac:dyDescent="0.3">
      <c r="A290" s="14"/>
      <c r="B290" s="15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2.75" customHeight="1" x14ac:dyDescent="0.3">
      <c r="A291" s="14"/>
      <c r="B291" s="15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2.75" customHeight="1" x14ac:dyDescent="0.3">
      <c r="A292" s="14"/>
      <c r="B292" s="15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2.75" customHeight="1" x14ac:dyDescent="0.3">
      <c r="A293" s="14"/>
      <c r="B293" s="15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75" customHeight="1" x14ac:dyDescent="0.3">
      <c r="A294" s="14"/>
      <c r="B294" s="15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2.75" customHeight="1" x14ac:dyDescent="0.3">
      <c r="A295" s="14"/>
      <c r="B295" s="15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2.75" customHeight="1" x14ac:dyDescent="0.3">
      <c r="A296" s="14"/>
      <c r="B296" s="15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2.75" customHeight="1" x14ac:dyDescent="0.3">
      <c r="A297" s="14"/>
      <c r="B297" s="15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2.75" customHeight="1" x14ac:dyDescent="0.3">
      <c r="A298" s="14"/>
      <c r="B298" s="15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2.75" customHeight="1" x14ac:dyDescent="0.3">
      <c r="A299" s="14"/>
      <c r="B299" s="15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2.75" customHeight="1" x14ac:dyDescent="0.3">
      <c r="A300" s="14"/>
      <c r="B300" s="15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2.75" customHeight="1" x14ac:dyDescent="0.3">
      <c r="A301" s="14"/>
      <c r="B301" s="15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2.75" customHeight="1" x14ac:dyDescent="0.3">
      <c r="A302" s="14"/>
      <c r="B302" s="15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2.75" customHeight="1" x14ac:dyDescent="0.3">
      <c r="A303" s="14"/>
      <c r="B303" s="15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75" customHeight="1" x14ac:dyDescent="0.3">
      <c r="A304" s="14"/>
      <c r="B304" s="15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2.75" customHeight="1" x14ac:dyDescent="0.3">
      <c r="A305" s="14"/>
      <c r="B305" s="15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2.75" customHeight="1" x14ac:dyDescent="0.3">
      <c r="A306" s="14"/>
      <c r="B306" s="15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2.75" customHeight="1" x14ac:dyDescent="0.3">
      <c r="A307" s="14"/>
      <c r="B307" s="15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2.75" customHeight="1" x14ac:dyDescent="0.3">
      <c r="A308" s="14"/>
      <c r="B308" s="15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2.75" customHeight="1" x14ac:dyDescent="0.3">
      <c r="A309" s="14"/>
      <c r="B309" s="15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2.75" customHeight="1" x14ac:dyDescent="0.3">
      <c r="A310" s="14"/>
      <c r="B310" s="15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2.75" customHeight="1" x14ac:dyDescent="0.3">
      <c r="A311" s="14"/>
      <c r="B311" s="15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2.75" customHeight="1" x14ac:dyDescent="0.3">
      <c r="A312" s="14"/>
      <c r="B312" s="15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2.75" customHeight="1" x14ac:dyDescent="0.3">
      <c r="A313" s="14"/>
      <c r="B313" s="15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2.75" customHeight="1" x14ac:dyDescent="0.3">
      <c r="A314" s="14"/>
      <c r="B314" s="15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2.75" customHeight="1" x14ac:dyDescent="0.3">
      <c r="A315" s="14"/>
      <c r="B315" s="15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2.75" customHeight="1" x14ac:dyDescent="0.3">
      <c r="A316" s="14"/>
      <c r="B316" s="15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2.75" customHeight="1" x14ac:dyDescent="0.3">
      <c r="A317" s="14"/>
      <c r="B317" s="15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2.75" customHeight="1" x14ac:dyDescent="0.3">
      <c r="A318" s="14"/>
      <c r="B318" s="15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2.75" customHeight="1" x14ac:dyDescent="0.3">
      <c r="A319" s="14"/>
      <c r="B319" s="15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2.75" customHeight="1" x14ac:dyDescent="0.3">
      <c r="A320" s="14"/>
      <c r="B320" s="15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2.75" customHeight="1" x14ac:dyDescent="0.3">
      <c r="A321" s="14"/>
      <c r="B321" s="15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2.75" customHeight="1" x14ac:dyDescent="0.3">
      <c r="A322" s="14"/>
      <c r="B322" s="15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2.75" customHeight="1" x14ac:dyDescent="0.3">
      <c r="A323" s="14"/>
      <c r="B323" s="15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2.75" customHeight="1" x14ac:dyDescent="0.3">
      <c r="A324" s="14"/>
      <c r="B324" s="15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2.75" customHeight="1" x14ac:dyDescent="0.3">
      <c r="A325" s="14"/>
      <c r="B325" s="15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2.75" customHeight="1" x14ac:dyDescent="0.3">
      <c r="A326" s="14"/>
      <c r="B326" s="15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2.75" customHeight="1" x14ac:dyDescent="0.3">
      <c r="A327" s="14"/>
      <c r="B327" s="15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2.75" customHeight="1" x14ac:dyDescent="0.3">
      <c r="A328" s="14"/>
      <c r="B328" s="15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2.75" customHeight="1" x14ac:dyDescent="0.3">
      <c r="A329" s="14"/>
      <c r="B329" s="15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2.75" customHeight="1" x14ac:dyDescent="0.3">
      <c r="A330" s="14"/>
      <c r="B330" s="15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2.75" customHeight="1" x14ac:dyDescent="0.3">
      <c r="A331" s="14"/>
      <c r="B331" s="15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2.75" customHeight="1" x14ac:dyDescent="0.3">
      <c r="A332" s="14"/>
      <c r="B332" s="15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2.75" customHeight="1" x14ac:dyDescent="0.3">
      <c r="A333" s="14"/>
      <c r="B333" s="15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2.75" customHeight="1" x14ac:dyDescent="0.3">
      <c r="A334" s="14"/>
      <c r="B334" s="15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2.75" customHeight="1" x14ac:dyDescent="0.3">
      <c r="A335" s="14"/>
      <c r="B335" s="15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2.75" customHeight="1" x14ac:dyDescent="0.3">
      <c r="A336" s="14"/>
      <c r="B336" s="15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2.75" customHeight="1" x14ac:dyDescent="0.3">
      <c r="A337" s="14"/>
      <c r="B337" s="15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2.75" customHeight="1" x14ac:dyDescent="0.3">
      <c r="A338" s="14"/>
      <c r="B338" s="15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2.75" customHeight="1" x14ac:dyDescent="0.3">
      <c r="A339" s="14"/>
      <c r="B339" s="15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2.75" customHeight="1" x14ac:dyDescent="0.3">
      <c r="A340" s="14"/>
      <c r="B340" s="15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2.75" customHeight="1" x14ac:dyDescent="0.3">
      <c r="A341" s="14"/>
      <c r="B341" s="15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2.75" customHeight="1" x14ac:dyDescent="0.3">
      <c r="A342" s="14"/>
      <c r="B342" s="15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2.75" customHeight="1" x14ac:dyDescent="0.3">
      <c r="A343" s="14"/>
      <c r="B343" s="15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2.75" customHeight="1" x14ac:dyDescent="0.3">
      <c r="A344" s="14"/>
      <c r="B344" s="15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2.75" customHeight="1" x14ac:dyDescent="0.3">
      <c r="A345" s="14"/>
      <c r="B345" s="15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2.75" customHeight="1" x14ac:dyDescent="0.3">
      <c r="A346" s="14"/>
      <c r="B346" s="15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2.75" customHeight="1" x14ac:dyDescent="0.3">
      <c r="A347" s="14"/>
      <c r="B347" s="15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2.75" customHeight="1" x14ac:dyDescent="0.3">
      <c r="A348" s="14"/>
      <c r="B348" s="15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2.75" customHeight="1" x14ac:dyDescent="0.3">
      <c r="A349" s="14"/>
      <c r="B349" s="15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2.75" customHeight="1" x14ac:dyDescent="0.3">
      <c r="A350" s="14"/>
      <c r="B350" s="15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2.75" customHeight="1" x14ac:dyDescent="0.3">
      <c r="A351" s="14"/>
      <c r="B351" s="15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2.75" customHeight="1" x14ac:dyDescent="0.3">
      <c r="A352" s="14"/>
      <c r="B352" s="15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2.75" customHeight="1" x14ac:dyDescent="0.3">
      <c r="A353" s="14"/>
      <c r="B353" s="15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2.75" customHeight="1" x14ac:dyDescent="0.3">
      <c r="A354" s="14"/>
      <c r="B354" s="15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2.75" customHeight="1" x14ac:dyDescent="0.3">
      <c r="A355" s="14"/>
      <c r="B355" s="15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2.75" customHeight="1" x14ac:dyDescent="0.3">
      <c r="A356" s="14"/>
      <c r="B356" s="15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2.75" customHeight="1" x14ac:dyDescent="0.3">
      <c r="A357" s="14"/>
      <c r="B357" s="15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2.75" customHeight="1" x14ac:dyDescent="0.3">
      <c r="A358" s="14"/>
      <c r="B358" s="15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2.75" customHeight="1" x14ac:dyDescent="0.3">
      <c r="A359" s="14"/>
      <c r="B359" s="15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2.75" customHeight="1" x14ac:dyDescent="0.3">
      <c r="A360" s="14"/>
      <c r="B360" s="15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2.75" customHeight="1" x14ac:dyDescent="0.3">
      <c r="A361" s="14"/>
      <c r="B361" s="15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75" customHeight="1" x14ac:dyDescent="0.3">
      <c r="A362" s="14"/>
      <c r="B362" s="15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75" customHeight="1" x14ac:dyDescent="0.3">
      <c r="A363" s="14"/>
      <c r="B363" s="15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2.75" customHeight="1" x14ac:dyDescent="0.3">
      <c r="A364" s="14"/>
      <c r="B364" s="15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2.75" customHeight="1" x14ac:dyDescent="0.3">
      <c r="A365" s="14"/>
      <c r="B365" s="15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2.75" customHeight="1" x14ac:dyDescent="0.3">
      <c r="A366" s="14"/>
      <c r="B366" s="15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2.75" customHeight="1" x14ac:dyDescent="0.3">
      <c r="A367" s="14"/>
      <c r="B367" s="15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2.75" customHeight="1" x14ac:dyDescent="0.3">
      <c r="A368" s="14"/>
      <c r="B368" s="15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2.75" customHeight="1" x14ac:dyDescent="0.3">
      <c r="A369" s="14"/>
      <c r="B369" s="15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2.75" customHeight="1" x14ac:dyDescent="0.3">
      <c r="A370" s="14"/>
      <c r="B370" s="15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2.75" customHeight="1" x14ac:dyDescent="0.3">
      <c r="A371" s="14"/>
      <c r="B371" s="15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2.75" customHeight="1" x14ac:dyDescent="0.3">
      <c r="A372" s="14"/>
      <c r="B372" s="15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2.75" customHeight="1" x14ac:dyDescent="0.3">
      <c r="A373" s="14"/>
      <c r="B373" s="15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2.75" customHeight="1" x14ac:dyDescent="0.3">
      <c r="A374" s="14"/>
      <c r="B374" s="15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2.75" customHeight="1" x14ac:dyDescent="0.3">
      <c r="A375" s="14"/>
      <c r="B375" s="15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2.75" customHeight="1" x14ac:dyDescent="0.3">
      <c r="A376" s="14"/>
      <c r="B376" s="15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2.75" customHeight="1" x14ac:dyDescent="0.3">
      <c r="A377" s="14"/>
      <c r="B377" s="15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2.75" customHeight="1" x14ac:dyDescent="0.3">
      <c r="A378" s="14"/>
      <c r="B378" s="15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2.75" customHeight="1" x14ac:dyDescent="0.3">
      <c r="A379" s="14"/>
      <c r="B379" s="15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75" customHeight="1" x14ac:dyDescent="0.3">
      <c r="A380" s="14"/>
      <c r="B380" s="15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2.75" customHeight="1" x14ac:dyDescent="0.3">
      <c r="A381" s="14"/>
      <c r="B381" s="15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2.75" customHeight="1" x14ac:dyDescent="0.3">
      <c r="A382" s="14"/>
      <c r="B382" s="15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2.75" customHeight="1" x14ac:dyDescent="0.3">
      <c r="A383" s="14"/>
      <c r="B383" s="15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2.75" customHeight="1" x14ac:dyDescent="0.3">
      <c r="A384" s="14"/>
      <c r="B384" s="15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2.75" customHeight="1" x14ac:dyDescent="0.3">
      <c r="A385" s="14"/>
      <c r="B385" s="15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2.75" customHeight="1" x14ac:dyDescent="0.3">
      <c r="A386" s="14"/>
      <c r="B386" s="15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2.75" customHeight="1" x14ac:dyDescent="0.3">
      <c r="A387" s="14"/>
      <c r="B387" s="15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2.75" customHeight="1" x14ac:dyDescent="0.3">
      <c r="A388" s="14"/>
      <c r="B388" s="15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2.75" customHeight="1" x14ac:dyDescent="0.3">
      <c r="A389" s="14"/>
      <c r="B389" s="15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2.75" customHeight="1" x14ac:dyDescent="0.3">
      <c r="A390" s="14"/>
      <c r="B390" s="15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2.75" customHeight="1" x14ac:dyDescent="0.3">
      <c r="A391" s="14"/>
      <c r="B391" s="15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2.75" customHeight="1" x14ac:dyDescent="0.3">
      <c r="A392" s="14"/>
      <c r="B392" s="15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2.75" customHeight="1" x14ac:dyDescent="0.3">
      <c r="A393" s="14"/>
      <c r="B393" s="15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2.75" customHeight="1" x14ac:dyDescent="0.3">
      <c r="A394" s="14"/>
      <c r="B394" s="15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2.75" customHeight="1" x14ac:dyDescent="0.3">
      <c r="A395" s="14"/>
      <c r="B395" s="15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75" customHeight="1" x14ac:dyDescent="0.3">
      <c r="A396" s="14"/>
      <c r="B396" s="15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75" customHeight="1" x14ac:dyDescent="0.3">
      <c r="A397" s="14"/>
      <c r="B397" s="15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2.75" customHeight="1" x14ac:dyDescent="0.3">
      <c r="A398" s="14"/>
      <c r="B398" s="15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2.75" customHeight="1" x14ac:dyDescent="0.3">
      <c r="A399" s="14"/>
      <c r="B399" s="15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75" customHeight="1" x14ac:dyDescent="0.3">
      <c r="A400" s="14"/>
      <c r="B400" s="15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2.75" customHeight="1" x14ac:dyDescent="0.3">
      <c r="A401" s="14"/>
      <c r="B401" s="15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2.75" customHeight="1" x14ac:dyDescent="0.3">
      <c r="A402" s="14"/>
      <c r="B402" s="15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2.75" customHeight="1" x14ac:dyDescent="0.3">
      <c r="A403" s="14"/>
      <c r="B403" s="15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2.75" customHeight="1" x14ac:dyDescent="0.3">
      <c r="A404" s="14"/>
      <c r="B404" s="15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2.75" customHeight="1" x14ac:dyDescent="0.3">
      <c r="A405" s="14"/>
      <c r="B405" s="15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75" customHeight="1" x14ac:dyDescent="0.3">
      <c r="A406" s="14"/>
      <c r="B406" s="15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2.75" customHeight="1" x14ac:dyDescent="0.3">
      <c r="A407" s="14"/>
      <c r="B407" s="15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2.75" customHeight="1" x14ac:dyDescent="0.3">
      <c r="A408" s="14"/>
      <c r="B408" s="15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2.75" customHeight="1" x14ac:dyDescent="0.3">
      <c r="A409" s="14"/>
      <c r="B409" s="15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2.75" customHeight="1" x14ac:dyDescent="0.3">
      <c r="A410" s="14"/>
      <c r="B410" s="15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2.75" customHeight="1" x14ac:dyDescent="0.3">
      <c r="A411" s="14"/>
      <c r="B411" s="15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2.75" customHeight="1" x14ac:dyDescent="0.3">
      <c r="A412" s="14"/>
      <c r="B412" s="15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2.75" customHeight="1" x14ac:dyDescent="0.3">
      <c r="A413" s="14"/>
      <c r="B413" s="15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2.75" customHeight="1" x14ac:dyDescent="0.3">
      <c r="A414" s="14"/>
      <c r="B414" s="15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2.75" customHeight="1" x14ac:dyDescent="0.3">
      <c r="A415" s="14"/>
      <c r="B415" s="15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75" customHeight="1" x14ac:dyDescent="0.3">
      <c r="A416" s="14"/>
      <c r="B416" s="15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75" customHeight="1" x14ac:dyDescent="0.3">
      <c r="A417" s="14"/>
      <c r="B417" s="15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75" customHeight="1" x14ac:dyDescent="0.3">
      <c r="A418" s="14"/>
      <c r="B418" s="15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75" customHeight="1" x14ac:dyDescent="0.3">
      <c r="A419" s="14"/>
      <c r="B419" s="15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75" customHeight="1" x14ac:dyDescent="0.3">
      <c r="A420" s="14"/>
      <c r="B420" s="15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75" customHeight="1" x14ac:dyDescent="0.3">
      <c r="A421" s="14"/>
      <c r="B421" s="15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75" customHeight="1" x14ac:dyDescent="0.3">
      <c r="A422" s="14"/>
      <c r="B422" s="15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75" customHeight="1" x14ac:dyDescent="0.3">
      <c r="A423" s="14"/>
      <c r="B423" s="15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75" customHeight="1" x14ac:dyDescent="0.3">
      <c r="A424" s="14"/>
      <c r="B424" s="15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75" customHeight="1" x14ac:dyDescent="0.3">
      <c r="A425" s="14"/>
      <c r="B425" s="15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75" customHeight="1" x14ac:dyDescent="0.3">
      <c r="A426" s="14"/>
      <c r="B426" s="15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75" customHeight="1" x14ac:dyDescent="0.3">
      <c r="A427" s="14"/>
      <c r="B427" s="15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75" customHeight="1" x14ac:dyDescent="0.3">
      <c r="A428" s="14"/>
      <c r="B428" s="15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2.75" customHeight="1" x14ac:dyDescent="0.3">
      <c r="A429" s="14"/>
      <c r="B429" s="15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75" customHeight="1" x14ac:dyDescent="0.3">
      <c r="A430" s="14"/>
      <c r="B430" s="15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75" customHeight="1" x14ac:dyDescent="0.3">
      <c r="A431" s="14"/>
      <c r="B431" s="15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75" customHeight="1" x14ac:dyDescent="0.3">
      <c r="A432" s="14"/>
      <c r="B432" s="15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75" customHeight="1" x14ac:dyDescent="0.3">
      <c r="A433" s="14"/>
      <c r="B433" s="15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75" customHeight="1" x14ac:dyDescent="0.3">
      <c r="A434" s="14"/>
      <c r="B434" s="15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75" customHeight="1" x14ac:dyDescent="0.3">
      <c r="A435" s="14"/>
      <c r="B435" s="15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2.75" customHeight="1" x14ac:dyDescent="0.3">
      <c r="A436" s="14"/>
      <c r="B436" s="15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2.75" customHeight="1" x14ac:dyDescent="0.3">
      <c r="A437" s="14"/>
      <c r="B437" s="15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75" customHeight="1" x14ac:dyDescent="0.3">
      <c r="A438" s="14"/>
      <c r="B438" s="15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75" customHeight="1" x14ac:dyDescent="0.3">
      <c r="A439" s="14"/>
      <c r="B439" s="15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2.75" customHeight="1" x14ac:dyDescent="0.3">
      <c r="A440" s="14"/>
      <c r="B440" s="15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75" customHeight="1" x14ac:dyDescent="0.3">
      <c r="A441" s="14"/>
      <c r="B441" s="15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75" customHeight="1" x14ac:dyDescent="0.3">
      <c r="A442" s="14"/>
      <c r="B442" s="15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75" customHeight="1" x14ac:dyDescent="0.3">
      <c r="A443" s="14"/>
      <c r="B443" s="15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75" customHeight="1" x14ac:dyDescent="0.3">
      <c r="A444" s="14"/>
      <c r="B444" s="15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2.75" customHeight="1" x14ac:dyDescent="0.3">
      <c r="A445" s="14"/>
      <c r="B445" s="15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75" customHeight="1" x14ac:dyDescent="0.3">
      <c r="A446" s="14"/>
      <c r="B446" s="15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75" customHeight="1" x14ac:dyDescent="0.3">
      <c r="A447" s="14"/>
      <c r="B447" s="15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75" customHeight="1" x14ac:dyDescent="0.3">
      <c r="A448" s="14"/>
      <c r="B448" s="15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75" customHeight="1" x14ac:dyDescent="0.3">
      <c r="A449" s="14"/>
      <c r="B449" s="15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75" customHeight="1" x14ac:dyDescent="0.3">
      <c r="A450" s="14"/>
      <c r="B450" s="15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75" customHeight="1" x14ac:dyDescent="0.3">
      <c r="A451" s="14"/>
      <c r="B451" s="15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75" customHeight="1" x14ac:dyDescent="0.3">
      <c r="A452" s="14"/>
      <c r="B452" s="15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2.75" customHeight="1" x14ac:dyDescent="0.3">
      <c r="A453" s="14"/>
      <c r="B453" s="15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75" customHeight="1" x14ac:dyDescent="0.3">
      <c r="A454" s="14"/>
      <c r="B454" s="15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75" customHeight="1" x14ac:dyDescent="0.3">
      <c r="A455" s="14"/>
      <c r="B455" s="15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75" customHeight="1" x14ac:dyDescent="0.3">
      <c r="A456" s="14"/>
      <c r="B456" s="15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75" customHeight="1" x14ac:dyDescent="0.3">
      <c r="A457" s="14"/>
      <c r="B457" s="15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75" customHeight="1" x14ac:dyDescent="0.3">
      <c r="A458" s="14"/>
      <c r="B458" s="15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75" customHeight="1" x14ac:dyDescent="0.3">
      <c r="A459" s="14"/>
      <c r="B459" s="15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75" customHeight="1" x14ac:dyDescent="0.3">
      <c r="A460" s="14"/>
      <c r="B460" s="15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2.75" customHeight="1" x14ac:dyDescent="0.3">
      <c r="A461" s="14"/>
      <c r="B461" s="15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75" customHeight="1" x14ac:dyDescent="0.3">
      <c r="A462" s="14"/>
      <c r="B462" s="15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75" customHeight="1" x14ac:dyDescent="0.3">
      <c r="A463" s="14"/>
      <c r="B463" s="15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 x14ac:dyDescent="0.3">
      <c r="A464" s="14"/>
      <c r="B464" s="15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75" customHeight="1" x14ac:dyDescent="0.3">
      <c r="A465" s="14"/>
      <c r="B465" s="15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75" customHeight="1" x14ac:dyDescent="0.3">
      <c r="A466" s="14"/>
      <c r="B466" s="15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75" customHeight="1" x14ac:dyDescent="0.3">
      <c r="A467" s="14"/>
      <c r="B467" s="15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75" customHeight="1" x14ac:dyDescent="0.3">
      <c r="A468" s="14"/>
      <c r="B468" s="15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75" customHeight="1" x14ac:dyDescent="0.3">
      <c r="A469" s="14"/>
      <c r="B469" s="15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2.75" customHeight="1" x14ac:dyDescent="0.3">
      <c r="A470" s="14"/>
      <c r="B470" s="15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75" customHeight="1" x14ac:dyDescent="0.3">
      <c r="A471" s="14"/>
      <c r="B471" s="15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75" customHeight="1" x14ac:dyDescent="0.3">
      <c r="A472" s="14"/>
      <c r="B472" s="15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75" customHeight="1" x14ac:dyDescent="0.3">
      <c r="A473" s="14"/>
      <c r="B473" s="15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75" customHeight="1" x14ac:dyDescent="0.3">
      <c r="A474" s="14"/>
      <c r="B474" s="15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75" customHeight="1" x14ac:dyDescent="0.3">
      <c r="A475" s="14"/>
      <c r="B475" s="15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75" customHeight="1" x14ac:dyDescent="0.3">
      <c r="A476" s="14"/>
      <c r="B476" s="15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75" customHeight="1" x14ac:dyDescent="0.3">
      <c r="A477" s="14"/>
      <c r="B477" s="15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75" customHeight="1" x14ac:dyDescent="0.3">
      <c r="A478" s="14"/>
      <c r="B478" s="15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75" customHeight="1" x14ac:dyDescent="0.3">
      <c r="A479" s="14"/>
      <c r="B479" s="15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75" customHeight="1" x14ac:dyDescent="0.3">
      <c r="A480" s="14"/>
      <c r="B480" s="15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75" customHeight="1" x14ac:dyDescent="0.3">
      <c r="A481" s="14"/>
      <c r="B481" s="15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75" customHeight="1" x14ac:dyDescent="0.3">
      <c r="A482" s="14"/>
      <c r="B482" s="15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75" customHeight="1" x14ac:dyDescent="0.3">
      <c r="A483" s="14"/>
      <c r="B483" s="15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75" customHeight="1" x14ac:dyDescent="0.3">
      <c r="A484" s="14"/>
      <c r="B484" s="15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75" customHeight="1" x14ac:dyDescent="0.3">
      <c r="A485" s="14"/>
      <c r="B485" s="15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75" customHeight="1" x14ac:dyDescent="0.3">
      <c r="A486" s="14"/>
      <c r="B486" s="15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75" customHeight="1" x14ac:dyDescent="0.3">
      <c r="A487" s="14"/>
      <c r="B487" s="15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75" customHeight="1" x14ac:dyDescent="0.3">
      <c r="A488" s="14"/>
      <c r="B488" s="15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75" customHeight="1" x14ac:dyDescent="0.3">
      <c r="A489" s="14"/>
      <c r="B489" s="15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 x14ac:dyDescent="0.3">
      <c r="A490" s="14"/>
      <c r="B490" s="15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75" customHeight="1" x14ac:dyDescent="0.3">
      <c r="A491" s="14"/>
      <c r="B491" s="15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75" customHeight="1" x14ac:dyDescent="0.3">
      <c r="A492" s="14"/>
      <c r="B492" s="15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75" customHeight="1" x14ac:dyDescent="0.3">
      <c r="A493" s="14"/>
      <c r="B493" s="15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75" customHeight="1" x14ac:dyDescent="0.3">
      <c r="A494" s="14"/>
      <c r="B494" s="15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75" customHeight="1" x14ac:dyDescent="0.3">
      <c r="A495" s="14"/>
      <c r="B495" s="15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75" customHeight="1" x14ac:dyDescent="0.3">
      <c r="A496" s="14"/>
      <c r="B496" s="15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75" customHeight="1" x14ac:dyDescent="0.3">
      <c r="A497" s="14"/>
      <c r="B497" s="15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75" customHeight="1" x14ac:dyDescent="0.3">
      <c r="A498" s="14"/>
      <c r="B498" s="15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75" customHeight="1" x14ac:dyDescent="0.3">
      <c r="A499" s="14"/>
      <c r="B499" s="15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75" customHeight="1" x14ac:dyDescent="0.3">
      <c r="A500" s="14"/>
      <c r="B500" s="15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75" customHeight="1" x14ac:dyDescent="0.3">
      <c r="A501" s="14"/>
      <c r="B501" s="15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75" customHeight="1" x14ac:dyDescent="0.3">
      <c r="A502" s="14"/>
      <c r="B502" s="15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75" customHeight="1" x14ac:dyDescent="0.3">
      <c r="A503" s="14"/>
      <c r="B503" s="15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75" customHeight="1" x14ac:dyDescent="0.3">
      <c r="A504" s="14"/>
      <c r="B504" s="15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75" customHeight="1" x14ac:dyDescent="0.3">
      <c r="A505" s="14"/>
      <c r="B505" s="15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 x14ac:dyDescent="0.3">
      <c r="A506" s="14"/>
      <c r="B506" s="15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75" customHeight="1" x14ac:dyDescent="0.3">
      <c r="A507" s="14"/>
      <c r="B507" s="15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75" customHeight="1" x14ac:dyDescent="0.3">
      <c r="A508" s="14"/>
      <c r="B508" s="15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75" customHeight="1" x14ac:dyDescent="0.3">
      <c r="A509" s="14"/>
      <c r="B509" s="15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75" customHeight="1" x14ac:dyDescent="0.3">
      <c r="A510" s="14"/>
      <c r="B510" s="15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75" customHeight="1" x14ac:dyDescent="0.3">
      <c r="A511" s="14"/>
      <c r="B511" s="15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75" customHeight="1" x14ac:dyDescent="0.3">
      <c r="A512" s="14"/>
      <c r="B512" s="15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75" customHeight="1" x14ac:dyDescent="0.3">
      <c r="A513" s="14"/>
      <c r="B513" s="15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75" customHeight="1" x14ac:dyDescent="0.3">
      <c r="A514" s="14"/>
      <c r="B514" s="15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75" customHeight="1" x14ac:dyDescent="0.3">
      <c r="A515" s="14"/>
      <c r="B515" s="15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75" customHeight="1" x14ac:dyDescent="0.3">
      <c r="A516" s="14"/>
      <c r="B516" s="15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75" customHeight="1" x14ac:dyDescent="0.3">
      <c r="A517" s="14"/>
      <c r="B517" s="15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75" customHeight="1" x14ac:dyDescent="0.3">
      <c r="A518" s="14"/>
      <c r="B518" s="15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75" customHeight="1" x14ac:dyDescent="0.3">
      <c r="A519" s="14"/>
      <c r="B519" s="15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75" customHeight="1" x14ac:dyDescent="0.3">
      <c r="A520" s="14"/>
      <c r="B520" s="15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75" customHeight="1" x14ac:dyDescent="0.3">
      <c r="A521" s="14"/>
      <c r="B521" s="15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75" customHeight="1" x14ac:dyDescent="0.3">
      <c r="A522" s="14"/>
      <c r="B522" s="15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75" customHeight="1" x14ac:dyDescent="0.3">
      <c r="A523" s="14"/>
      <c r="B523" s="15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75" customHeight="1" x14ac:dyDescent="0.3">
      <c r="A524" s="14"/>
      <c r="B524" s="15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75" customHeight="1" x14ac:dyDescent="0.3">
      <c r="A525" s="14"/>
      <c r="B525" s="15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75" customHeight="1" x14ac:dyDescent="0.3">
      <c r="A526" s="14"/>
      <c r="B526" s="15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75" customHeight="1" x14ac:dyDescent="0.3">
      <c r="A527" s="14"/>
      <c r="B527" s="15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75" customHeight="1" x14ac:dyDescent="0.3">
      <c r="A528" s="14"/>
      <c r="B528" s="15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75" customHeight="1" x14ac:dyDescent="0.3">
      <c r="A529" s="14"/>
      <c r="B529" s="15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75" customHeight="1" x14ac:dyDescent="0.3">
      <c r="A530" s="14"/>
      <c r="B530" s="15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75" customHeight="1" x14ac:dyDescent="0.3">
      <c r="A531" s="14"/>
      <c r="B531" s="15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75" customHeight="1" x14ac:dyDescent="0.3">
      <c r="A532" s="14"/>
      <c r="B532" s="15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 x14ac:dyDescent="0.3">
      <c r="A533" s="14"/>
      <c r="B533" s="15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75" customHeight="1" x14ac:dyDescent="0.3">
      <c r="A534" s="14"/>
      <c r="B534" s="15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75" customHeight="1" x14ac:dyDescent="0.3">
      <c r="A535" s="14"/>
      <c r="B535" s="15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75" customHeight="1" x14ac:dyDescent="0.3">
      <c r="A536" s="14"/>
      <c r="B536" s="15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75" customHeight="1" x14ac:dyDescent="0.3">
      <c r="A537" s="14"/>
      <c r="B537" s="15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75" customHeight="1" x14ac:dyDescent="0.3">
      <c r="A538" s="14"/>
      <c r="B538" s="15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75" customHeight="1" x14ac:dyDescent="0.3">
      <c r="A539" s="14"/>
      <c r="B539" s="15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75" customHeight="1" x14ac:dyDescent="0.3">
      <c r="A540" s="14"/>
      <c r="B540" s="15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75" customHeight="1" x14ac:dyDescent="0.3">
      <c r="A541" s="14"/>
      <c r="B541" s="15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75" customHeight="1" x14ac:dyDescent="0.3">
      <c r="A542" s="14"/>
      <c r="B542" s="15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75" customHeight="1" x14ac:dyDescent="0.3">
      <c r="A543" s="14"/>
      <c r="B543" s="15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75" customHeight="1" x14ac:dyDescent="0.3">
      <c r="A544" s="14"/>
      <c r="B544" s="15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75" customHeight="1" x14ac:dyDescent="0.3">
      <c r="A545" s="14"/>
      <c r="B545" s="15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75" customHeight="1" x14ac:dyDescent="0.3">
      <c r="A546" s="14"/>
      <c r="B546" s="15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75" customHeight="1" x14ac:dyDescent="0.3">
      <c r="A547" s="14"/>
      <c r="B547" s="15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75" customHeight="1" x14ac:dyDescent="0.3">
      <c r="A548" s="14"/>
      <c r="B548" s="15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75" customHeight="1" x14ac:dyDescent="0.3">
      <c r="A549" s="14"/>
      <c r="B549" s="15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75" customHeight="1" x14ac:dyDescent="0.3">
      <c r="A550" s="14"/>
      <c r="B550" s="15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75" customHeight="1" x14ac:dyDescent="0.3">
      <c r="A551" s="14"/>
      <c r="B551" s="15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75" customHeight="1" x14ac:dyDescent="0.3">
      <c r="A552" s="14"/>
      <c r="B552" s="15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75" customHeight="1" x14ac:dyDescent="0.3">
      <c r="A553" s="14"/>
      <c r="B553" s="15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75" customHeight="1" x14ac:dyDescent="0.3">
      <c r="A554" s="14"/>
      <c r="B554" s="15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75" customHeight="1" x14ac:dyDescent="0.3">
      <c r="A555" s="14"/>
      <c r="B555" s="15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75" customHeight="1" x14ac:dyDescent="0.3">
      <c r="A556" s="14"/>
      <c r="B556" s="15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 x14ac:dyDescent="0.3">
      <c r="A557" s="14"/>
      <c r="B557" s="15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 x14ac:dyDescent="0.3">
      <c r="A558" s="14"/>
      <c r="B558" s="15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 x14ac:dyDescent="0.3">
      <c r="A559" s="14"/>
      <c r="B559" s="15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 x14ac:dyDescent="0.3">
      <c r="A560" s="14"/>
      <c r="B560" s="15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 x14ac:dyDescent="0.3">
      <c r="A561" s="14"/>
      <c r="B561" s="15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 x14ac:dyDescent="0.3">
      <c r="A562" s="14"/>
      <c r="B562" s="15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 x14ac:dyDescent="0.3">
      <c r="A563" s="14"/>
      <c r="B563" s="15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 x14ac:dyDescent="0.3">
      <c r="A564" s="14"/>
      <c r="B564" s="15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 x14ac:dyDescent="0.3">
      <c r="A565" s="14"/>
      <c r="B565" s="15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 x14ac:dyDescent="0.3">
      <c r="A566" s="14"/>
      <c r="B566" s="15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 x14ac:dyDescent="0.3">
      <c r="A567" s="14"/>
      <c r="B567" s="15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 x14ac:dyDescent="0.3">
      <c r="A568" s="14"/>
      <c r="B568" s="15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 x14ac:dyDescent="0.3">
      <c r="A569" s="14"/>
      <c r="B569" s="15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 x14ac:dyDescent="0.3">
      <c r="A570" s="14"/>
      <c r="B570" s="15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 x14ac:dyDescent="0.3">
      <c r="A571" s="14"/>
      <c r="B571" s="15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 x14ac:dyDescent="0.3">
      <c r="A572" s="14"/>
      <c r="B572" s="15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 x14ac:dyDescent="0.3">
      <c r="A573" s="14"/>
      <c r="B573" s="15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 x14ac:dyDescent="0.3">
      <c r="A574" s="14"/>
      <c r="B574" s="15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 x14ac:dyDescent="0.3">
      <c r="A575" s="14"/>
      <c r="B575" s="15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 x14ac:dyDescent="0.3">
      <c r="A576" s="14"/>
      <c r="B576" s="15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75" customHeight="1" x14ac:dyDescent="0.3">
      <c r="A577" s="14"/>
      <c r="B577" s="15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75" customHeight="1" x14ac:dyDescent="0.3">
      <c r="A578" s="14"/>
      <c r="B578" s="15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75" customHeight="1" x14ac:dyDescent="0.3">
      <c r="A579" s="14"/>
      <c r="B579" s="15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 x14ac:dyDescent="0.3">
      <c r="A580" s="14"/>
      <c r="B580" s="15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 x14ac:dyDescent="0.3">
      <c r="A581" s="14"/>
      <c r="B581" s="15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75" customHeight="1" x14ac:dyDescent="0.3">
      <c r="A582" s="14"/>
      <c r="B582" s="15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 x14ac:dyDescent="0.3">
      <c r="A583" s="14"/>
      <c r="B583" s="15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75" customHeight="1" x14ac:dyDescent="0.3">
      <c r="A584" s="14"/>
      <c r="B584" s="15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2.75" customHeight="1" x14ac:dyDescent="0.3">
      <c r="A585" s="14"/>
      <c r="B585" s="15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75" customHeight="1" x14ac:dyDescent="0.3">
      <c r="A586" s="14"/>
      <c r="B586" s="15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 x14ac:dyDescent="0.3">
      <c r="A587" s="14"/>
      <c r="B587" s="15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 x14ac:dyDescent="0.3">
      <c r="A588" s="14"/>
      <c r="B588" s="15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 x14ac:dyDescent="0.3">
      <c r="A589" s="14"/>
      <c r="B589" s="15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75" customHeight="1" x14ac:dyDescent="0.3">
      <c r="A590" s="14"/>
      <c r="B590" s="15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75" customHeight="1" x14ac:dyDescent="0.3">
      <c r="A591" s="14"/>
      <c r="B591" s="15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 x14ac:dyDescent="0.3">
      <c r="A592" s="14"/>
      <c r="B592" s="15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2.75" customHeight="1" x14ac:dyDescent="0.3">
      <c r="A593" s="14"/>
      <c r="B593" s="15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75" customHeight="1" x14ac:dyDescent="0.3">
      <c r="A594" s="14"/>
      <c r="B594" s="15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75" customHeight="1" x14ac:dyDescent="0.3">
      <c r="A595" s="14"/>
      <c r="B595" s="15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 x14ac:dyDescent="0.3">
      <c r="A596" s="14"/>
      <c r="B596" s="15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 x14ac:dyDescent="0.3">
      <c r="A597" s="14"/>
      <c r="B597" s="15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75" customHeight="1" x14ac:dyDescent="0.3">
      <c r="A598" s="14"/>
      <c r="B598" s="15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 x14ac:dyDescent="0.3">
      <c r="A599" s="14"/>
      <c r="B599" s="15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 x14ac:dyDescent="0.3">
      <c r="A600" s="14"/>
      <c r="B600" s="15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2.75" customHeight="1" x14ac:dyDescent="0.3">
      <c r="A601" s="14"/>
      <c r="B601" s="15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75" customHeight="1" x14ac:dyDescent="0.3">
      <c r="A602" s="14"/>
      <c r="B602" s="15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75" customHeight="1" x14ac:dyDescent="0.3">
      <c r="A603" s="14"/>
      <c r="B603" s="15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75" customHeight="1" x14ac:dyDescent="0.3">
      <c r="A604" s="14"/>
      <c r="B604" s="15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 x14ac:dyDescent="0.3">
      <c r="A605" s="14"/>
      <c r="B605" s="15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 x14ac:dyDescent="0.3">
      <c r="A606" s="14"/>
      <c r="B606" s="15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75" customHeight="1" x14ac:dyDescent="0.3">
      <c r="A607" s="14"/>
      <c r="B607" s="15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75" customHeight="1" x14ac:dyDescent="0.3">
      <c r="A608" s="14"/>
      <c r="B608" s="15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2.75" customHeight="1" x14ac:dyDescent="0.3">
      <c r="A609" s="14"/>
      <c r="B609" s="15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 x14ac:dyDescent="0.3">
      <c r="A610" s="14"/>
      <c r="B610" s="15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 x14ac:dyDescent="0.3">
      <c r="A611" s="14"/>
      <c r="B611" s="15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 x14ac:dyDescent="0.3">
      <c r="A612" s="14"/>
      <c r="B612" s="15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 x14ac:dyDescent="0.3">
      <c r="A613" s="14"/>
      <c r="B613" s="15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 x14ac:dyDescent="0.3">
      <c r="A614" s="14"/>
      <c r="B614" s="15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 x14ac:dyDescent="0.3">
      <c r="A615" s="14"/>
      <c r="B615" s="15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 x14ac:dyDescent="0.3">
      <c r="A616" s="14"/>
      <c r="B616" s="15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75" customHeight="1" x14ac:dyDescent="0.3">
      <c r="A617" s="14"/>
      <c r="B617" s="15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 x14ac:dyDescent="0.3">
      <c r="A618" s="14"/>
      <c r="B618" s="15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75" customHeight="1" x14ac:dyDescent="0.3">
      <c r="A619" s="14"/>
      <c r="B619" s="15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75" customHeight="1" x14ac:dyDescent="0.3">
      <c r="A620" s="14"/>
      <c r="B620" s="15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 x14ac:dyDescent="0.3">
      <c r="A621" s="14"/>
      <c r="B621" s="15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 x14ac:dyDescent="0.3">
      <c r="A622" s="14"/>
      <c r="B622" s="15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 x14ac:dyDescent="0.3">
      <c r="A623" s="14"/>
      <c r="B623" s="15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 x14ac:dyDescent="0.3">
      <c r="A624" s="14"/>
      <c r="B624" s="15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75" customHeight="1" x14ac:dyDescent="0.3">
      <c r="A625" s="14"/>
      <c r="B625" s="15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75" customHeight="1" x14ac:dyDescent="0.3">
      <c r="A626" s="14"/>
      <c r="B626" s="15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75" customHeight="1" x14ac:dyDescent="0.3">
      <c r="A627" s="14"/>
      <c r="B627" s="15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75" customHeight="1" x14ac:dyDescent="0.3">
      <c r="A628" s="14"/>
      <c r="B628" s="15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75" customHeight="1" x14ac:dyDescent="0.3">
      <c r="A629" s="14"/>
      <c r="B629" s="15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75" customHeight="1" x14ac:dyDescent="0.3">
      <c r="A630" s="14"/>
      <c r="B630" s="15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75" customHeight="1" x14ac:dyDescent="0.3">
      <c r="A631" s="14"/>
      <c r="B631" s="15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75" customHeight="1" x14ac:dyDescent="0.3">
      <c r="A632" s="14"/>
      <c r="B632" s="15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2.75" customHeight="1" x14ac:dyDescent="0.3">
      <c r="A633" s="14"/>
      <c r="B633" s="15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75" customHeight="1" x14ac:dyDescent="0.3">
      <c r="A634" s="14"/>
      <c r="B634" s="15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75" customHeight="1" x14ac:dyDescent="0.3">
      <c r="A635" s="14"/>
      <c r="B635" s="15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75" customHeight="1" x14ac:dyDescent="0.3">
      <c r="A636" s="14"/>
      <c r="B636" s="15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75" customHeight="1" x14ac:dyDescent="0.3">
      <c r="A637" s="14"/>
      <c r="B637" s="15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75" customHeight="1" x14ac:dyDescent="0.3">
      <c r="A638" s="14"/>
      <c r="B638" s="15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75" customHeight="1" x14ac:dyDescent="0.3">
      <c r="A639" s="14"/>
      <c r="B639" s="15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75" customHeight="1" x14ac:dyDescent="0.3">
      <c r="A640" s="14"/>
      <c r="B640" s="15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2.75" customHeight="1" x14ac:dyDescent="0.3">
      <c r="A641" s="14"/>
      <c r="B641" s="15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75" customHeight="1" x14ac:dyDescent="0.3">
      <c r="A642" s="14"/>
      <c r="B642" s="15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75" customHeight="1" x14ac:dyDescent="0.3">
      <c r="A643" s="14"/>
      <c r="B643" s="15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75" customHeight="1" x14ac:dyDescent="0.3">
      <c r="A644" s="14"/>
      <c r="B644" s="15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75" customHeight="1" x14ac:dyDescent="0.3">
      <c r="A645" s="14"/>
      <c r="B645" s="15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75" customHeight="1" x14ac:dyDescent="0.3">
      <c r="A646" s="14"/>
      <c r="B646" s="15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75" customHeight="1" x14ac:dyDescent="0.3">
      <c r="A647" s="14"/>
      <c r="B647" s="15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75" customHeight="1" x14ac:dyDescent="0.3">
      <c r="A648" s="14"/>
      <c r="B648" s="15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75" customHeight="1" x14ac:dyDescent="0.3">
      <c r="A649" s="14"/>
      <c r="B649" s="15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75" customHeight="1" x14ac:dyDescent="0.3">
      <c r="A650" s="14"/>
      <c r="B650" s="15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75" customHeight="1" x14ac:dyDescent="0.3">
      <c r="A651" s="14"/>
      <c r="B651" s="15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75" customHeight="1" x14ac:dyDescent="0.3">
      <c r="A652" s="14"/>
      <c r="B652" s="15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75" customHeight="1" x14ac:dyDescent="0.3">
      <c r="A653" s="14"/>
      <c r="B653" s="15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75" customHeight="1" x14ac:dyDescent="0.3">
      <c r="A654" s="14"/>
      <c r="B654" s="15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75" customHeight="1" x14ac:dyDescent="0.3">
      <c r="A655" s="14"/>
      <c r="B655" s="15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75" customHeight="1" x14ac:dyDescent="0.3">
      <c r="A656" s="14"/>
      <c r="B656" s="15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75" customHeight="1" x14ac:dyDescent="0.3">
      <c r="A657" s="14"/>
      <c r="B657" s="15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75" customHeight="1" x14ac:dyDescent="0.3">
      <c r="A658" s="14"/>
      <c r="B658" s="15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75" customHeight="1" x14ac:dyDescent="0.3">
      <c r="A659" s="14"/>
      <c r="B659" s="15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75" customHeight="1" x14ac:dyDescent="0.3">
      <c r="A660" s="14"/>
      <c r="B660" s="15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75" customHeight="1" x14ac:dyDescent="0.3">
      <c r="A661" s="14"/>
      <c r="B661" s="15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75" customHeight="1" x14ac:dyDescent="0.3">
      <c r="A662" s="14"/>
      <c r="B662" s="15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75" customHeight="1" x14ac:dyDescent="0.3">
      <c r="A663" s="14"/>
      <c r="B663" s="15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75" customHeight="1" x14ac:dyDescent="0.3">
      <c r="A664" s="14"/>
      <c r="B664" s="15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75" customHeight="1" x14ac:dyDescent="0.3">
      <c r="A665" s="14"/>
      <c r="B665" s="15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75" customHeight="1" x14ac:dyDescent="0.3">
      <c r="A666" s="14"/>
      <c r="B666" s="15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75" customHeight="1" x14ac:dyDescent="0.3">
      <c r="A667" s="14"/>
      <c r="B667" s="15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75" customHeight="1" x14ac:dyDescent="0.3">
      <c r="A668" s="14"/>
      <c r="B668" s="15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75" customHeight="1" x14ac:dyDescent="0.3">
      <c r="A669" s="14"/>
      <c r="B669" s="15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75" customHeight="1" x14ac:dyDescent="0.3">
      <c r="A670" s="14"/>
      <c r="B670" s="15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75" customHeight="1" x14ac:dyDescent="0.3">
      <c r="A671" s="14"/>
      <c r="B671" s="15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75" customHeight="1" x14ac:dyDescent="0.3">
      <c r="A672" s="14"/>
      <c r="B672" s="15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75" customHeight="1" x14ac:dyDescent="0.3">
      <c r="A673" s="14"/>
      <c r="B673" s="15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75" customHeight="1" x14ac:dyDescent="0.3">
      <c r="A674" s="14"/>
      <c r="B674" s="15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75" customHeight="1" x14ac:dyDescent="0.3">
      <c r="A675" s="14"/>
      <c r="B675" s="15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75" customHeight="1" x14ac:dyDescent="0.3">
      <c r="A676" s="14"/>
      <c r="B676" s="15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75" customHeight="1" x14ac:dyDescent="0.3">
      <c r="A677" s="14"/>
      <c r="B677" s="15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 x14ac:dyDescent="0.3">
      <c r="A678" s="14"/>
      <c r="B678" s="15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 x14ac:dyDescent="0.3">
      <c r="A679" s="14"/>
      <c r="B679" s="15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 x14ac:dyDescent="0.3">
      <c r="A680" s="14"/>
      <c r="B680" s="15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75" customHeight="1" x14ac:dyDescent="0.3">
      <c r="A681" s="14"/>
      <c r="B681" s="15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 x14ac:dyDescent="0.3">
      <c r="A682" s="14"/>
      <c r="B682" s="15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 x14ac:dyDescent="0.3">
      <c r="A683" s="14"/>
      <c r="B683" s="15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 x14ac:dyDescent="0.3">
      <c r="A684" s="14"/>
      <c r="B684" s="15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 x14ac:dyDescent="0.3">
      <c r="A685" s="14"/>
      <c r="B685" s="15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75" customHeight="1" x14ac:dyDescent="0.3">
      <c r="A686" s="14"/>
      <c r="B686" s="15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2.75" customHeight="1" x14ac:dyDescent="0.3">
      <c r="A687" s="14"/>
      <c r="B687" s="15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2.75" customHeight="1" x14ac:dyDescent="0.3">
      <c r="A688" s="14"/>
      <c r="B688" s="15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2.75" customHeight="1" x14ac:dyDescent="0.3">
      <c r="A689" s="14"/>
      <c r="B689" s="15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2.75" customHeight="1" x14ac:dyDescent="0.3">
      <c r="A690" s="14"/>
      <c r="B690" s="15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2.75" customHeight="1" x14ac:dyDescent="0.3">
      <c r="A691" s="14"/>
      <c r="B691" s="15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2.75" customHeight="1" x14ac:dyDescent="0.3">
      <c r="A692" s="14"/>
      <c r="B692" s="15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2.75" customHeight="1" x14ac:dyDescent="0.3">
      <c r="A693" s="14"/>
      <c r="B693" s="15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2.75" customHeight="1" x14ac:dyDescent="0.3">
      <c r="A694" s="14"/>
      <c r="B694" s="15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75" customHeight="1" x14ac:dyDescent="0.3">
      <c r="A695" s="14"/>
      <c r="B695" s="15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75" customHeight="1" x14ac:dyDescent="0.3">
      <c r="A696" s="14"/>
      <c r="B696" s="15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75" customHeight="1" x14ac:dyDescent="0.3">
      <c r="A697" s="14"/>
      <c r="B697" s="15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75" customHeight="1" x14ac:dyDescent="0.3">
      <c r="A698" s="14"/>
      <c r="B698" s="15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75" customHeight="1" x14ac:dyDescent="0.3">
      <c r="A699" s="14"/>
      <c r="B699" s="15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2.75" customHeight="1" x14ac:dyDescent="0.3">
      <c r="A700" s="14"/>
      <c r="B700" s="15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2.75" customHeight="1" x14ac:dyDescent="0.3">
      <c r="A701" s="14"/>
      <c r="B701" s="15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2.75" customHeight="1" x14ac:dyDescent="0.3">
      <c r="A702" s="14"/>
      <c r="B702" s="15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2.75" customHeight="1" x14ac:dyDescent="0.3">
      <c r="A703" s="14"/>
      <c r="B703" s="15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2.75" customHeight="1" x14ac:dyDescent="0.3">
      <c r="A704" s="14"/>
      <c r="B704" s="15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2.75" customHeight="1" x14ac:dyDescent="0.3">
      <c r="A705" s="14"/>
      <c r="B705" s="15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2.75" customHeight="1" x14ac:dyDescent="0.3">
      <c r="A706" s="14"/>
      <c r="B706" s="15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2.75" customHeight="1" x14ac:dyDescent="0.3">
      <c r="A707" s="14"/>
      <c r="B707" s="15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75" customHeight="1" x14ac:dyDescent="0.3">
      <c r="A708" s="14"/>
      <c r="B708" s="15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75" customHeight="1" x14ac:dyDescent="0.3">
      <c r="A709" s="14"/>
      <c r="B709" s="15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2.75" customHeight="1" x14ac:dyDescent="0.3">
      <c r="A710" s="14"/>
      <c r="B710" s="15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2.75" customHeight="1" x14ac:dyDescent="0.3">
      <c r="A711" s="14"/>
      <c r="B711" s="15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2.75" customHeight="1" x14ac:dyDescent="0.3">
      <c r="A712" s="14"/>
      <c r="B712" s="15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2.75" customHeight="1" x14ac:dyDescent="0.3">
      <c r="A713" s="14"/>
      <c r="B713" s="15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2.75" customHeight="1" x14ac:dyDescent="0.3">
      <c r="A714" s="14"/>
      <c r="B714" s="15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2.75" customHeight="1" x14ac:dyDescent="0.3">
      <c r="A715" s="14"/>
      <c r="B715" s="15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2.75" customHeight="1" x14ac:dyDescent="0.3">
      <c r="A716" s="14"/>
      <c r="B716" s="15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2.75" customHeight="1" x14ac:dyDescent="0.3">
      <c r="A717" s="14"/>
      <c r="B717" s="15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2.75" customHeight="1" x14ac:dyDescent="0.3">
      <c r="A718" s="14"/>
      <c r="B718" s="15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2.75" customHeight="1" x14ac:dyDescent="0.3">
      <c r="A719" s="14"/>
      <c r="B719" s="15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2.75" customHeight="1" x14ac:dyDescent="0.3">
      <c r="A720" s="14"/>
      <c r="B720" s="15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2.75" customHeight="1" x14ac:dyDescent="0.3">
      <c r="A721" s="14"/>
      <c r="B721" s="15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2.75" customHeight="1" x14ac:dyDescent="0.3">
      <c r="A722" s="14"/>
      <c r="B722" s="15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2.75" customHeight="1" x14ac:dyDescent="0.3">
      <c r="A723" s="14"/>
      <c r="B723" s="15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2.75" customHeight="1" x14ac:dyDescent="0.3">
      <c r="A724" s="14"/>
      <c r="B724" s="15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2.75" customHeight="1" x14ac:dyDescent="0.3">
      <c r="A725" s="14"/>
      <c r="B725" s="15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2.75" customHeight="1" x14ac:dyDescent="0.3">
      <c r="A726" s="14"/>
      <c r="B726" s="15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2.75" customHeight="1" x14ac:dyDescent="0.3">
      <c r="A727" s="14"/>
      <c r="B727" s="15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2.75" customHeight="1" x14ac:dyDescent="0.3">
      <c r="A728" s="14"/>
      <c r="B728" s="15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2.75" customHeight="1" x14ac:dyDescent="0.3">
      <c r="A729" s="14"/>
      <c r="B729" s="15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75" customHeight="1" x14ac:dyDescent="0.3">
      <c r="A730" s="14"/>
      <c r="B730" s="15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75" customHeight="1" x14ac:dyDescent="0.3">
      <c r="A731" s="14"/>
      <c r="B731" s="15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75" customHeight="1" x14ac:dyDescent="0.3">
      <c r="A732" s="14"/>
      <c r="B732" s="15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2.75" customHeight="1" x14ac:dyDescent="0.3">
      <c r="A733" s="14"/>
      <c r="B733" s="15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75" customHeight="1" x14ac:dyDescent="0.3">
      <c r="A734" s="14"/>
      <c r="B734" s="15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75" customHeight="1" x14ac:dyDescent="0.3">
      <c r="A735" s="14"/>
      <c r="B735" s="15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75" customHeight="1" x14ac:dyDescent="0.3">
      <c r="A736" s="14"/>
      <c r="B736" s="15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75" customHeight="1" x14ac:dyDescent="0.3">
      <c r="A737" s="14"/>
      <c r="B737" s="15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75" customHeight="1" x14ac:dyDescent="0.3">
      <c r="A738" s="14"/>
      <c r="B738" s="15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2.75" customHeight="1" x14ac:dyDescent="0.3">
      <c r="A739" s="14"/>
      <c r="B739" s="15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2.75" customHeight="1" x14ac:dyDescent="0.3">
      <c r="A740" s="14"/>
      <c r="B740" s="15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2.75" customHeight="1" x14ac:dyDescent="0.3">
      <c r="A741" s="14"/>
      <c r="B741" s="15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2.75" customHeight="1" x14ac:dyDescent="0.3">
      <c r="A742" s="14"/>
      <c r="B742" s="15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2.75" customHeight="1" x14ac:dyDescent="0.3">
      <c r="A743" s="14"/>
      <c r="B743" s="15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2.75" customHeight="1" x14ac:dyDescent="0.3">
      <c r="A744" s="14"/>
      <c r="B744" s="15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2.75" customHeight="1" x14ac:dyDescent="0.3">
      <c r="A745" s="14"/>
      <c r="B745" s="15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2.75" customHeight="1" x14ac:dyDescent="0.3">
      <c r="A746" s="14"/>
      <c r="B746" s="15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2.75" customHeight="1" x14ac:dyDescent="0.3">
      <c r="A747" s="14"/>
      <c r="B747" s="15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2.75" customHeight="1" x14ac:dyDescent="0.3">
      <c r="A748" s="14"/>
      <c r="B748" s="15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2.75" customHeight="1" x14ac:dyDescent="0.3">
      <c r="A749" s="14"/>
      <c r="B749" s="15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2.75" customHeight="1" x14ac:dyDescent="0.3">
      <c r="A750" s="14"/>
      <c r="B750" s="15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2.75" customHeight="1" x14ac:dyDescent="0.3">
      <c r="A751" s="14"/>
      <c r="B751" s="15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2.75" customHeight="1" x14ac:dyDescent="0.3">
      <c r="A752" s="14"/>
      <c r="B752" s="15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2.75" customHeight="1" x14ac:dyDescent="0.3">
      <c r="A753" s="14"/>
      <c r="B753" s="15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2.75" customHeight="1" x14ac:dyDescent="0.3">
      <c r="A754" s="14"/>
      <c r="B754" s="15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2.75" customHeight="1" x14ac:dyDescent="0.3">
      <c r="A755" s="14"/>
      <c r="B755" s="15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2.75" customHeight="1" x14ac:dyDescent="0.3">
      <c r="A756" s="14"/>
      <c r="B756" s="15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2.75" customHeight="1" x14ac:dyDescent="0.3">
      <c r="A757" s="14"/>
      <c r="B757" s="15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2.75" customHeight="1" x14ac:dyDescent="0.3">
      <c r="A758" s="14"/>
      <c r="B758" s="15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2.75" customHeight="1" x14ac:dyDescent="0.3">
      <c r="A759" s="14"/>
      <c r="B759" s="15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2.75" customHeight="1" x14ac:dyDescent="0.3">
      <c r="A760" s="14"/>
      <c r="B760" s="15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75" customHeight="1" x14ac:dyDescent="0.3">
      <c r="A761" s="14"/>
      <c r="B761" s="15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75" customHeight="1" x14ac:dyDescent="0.3">
      <c r="A762" s="14"/>
      <c r="B762" s="15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2.75" customHeight="1" x14ac:dyDescent="0.3">
      <c r="A763" s="14"/>
      <c r="B763" s="15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2.75" customHeight="1" x14ac:dyDescent="0.3">
      <c r="A764" s="14"/>
      <c r="B764" s="15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2.75" customHeight="1" x14ac:dyDescent="0.3">
      <c r="A765" s="14"/>
      <c r="B765" s="15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2.75" customHeight="1" x14ac:dyDescent="0.3">
      <c r="A766" s="14"/>
      <c r="B766" s="15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2.75" customHeight="1" x14ac:dyDescent="0.3">
      <c r="A767" s="14"/>
      <c r="B767" s="15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75" customHeight="1" x14ac:dyDescent="0.3">
      <c r="A768" s="14"/>
      <c r="B768" s="15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2.75" customHeight="1" x14ac:dyDescent="0.3">
      <c r="A769" s="14"/>
      <c r="B769" s="15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75" customHeight="1" x14ac:dyDescent="0.3">
      <c r="A770" s="14"/>
      <c r="B770" s="15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75" customHeight="1" x14ac:dyDescent="0.3">
      <c r="A771" s="14"/>
      <c r="B771" s="15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75" customHeight="1" x14ac:dyDescent="0.3">
      <c r="A772" s="14"/>
      <c r="B772" s="15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2.75" customHeight="1" x14ac:dyDescent="0.3">
      <c r="A773" s="14"/>
      <c r="B773" s="15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75" customHeight="1" x14ac:dyDescent="0.3">
      <c r="A774" s="14"/>
      <c r="B774" s="15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75" customHeight="1" x14ac:dyDescent="0.3">
      <c r="A775" s="14"/>
      <c r="B775" s="15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75" customHeight="1" x14ac:dyDescent="0.3">
      <c r="A776" s="14"/>
      <c r="B776" s="15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75" customHeight="1" x14ac:dyDescent="0.3">
      <c r="A777" s="14"/>
      <c r="B777" s="15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2.75" customHeight="1" x14ac:dyDescent="0.3">
      <c r="A778" s="14"/>
      <c r="B778" s="15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2.75" customHeight="1" x14ac:dyDescent="0.3">
      <c r="A779" s="14"/>
      <c r="B779" s="15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2.75" customHeight="1" x14ac:dyDescent="0.3">
      <c r="A780" s="14"/>
      <c r="B780" s="15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2.75" customHeight="1" x14ac:dyDescent="0.3">
      <c r="A781" s="14"/>
      <c r="B781" s="15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75" customHeight="1" x14ac:dyDescent="0.3">
      <c r="A782" s="14"/>
      <c r="B782" s="15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75" customHeight="1" x14ac:dyDescent="0.3">
      <c r="A783" s="14"/>
      <c r="B783" s="15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75" customHeight="1" x14ac:dyDescent="0.3">
      <c r="A784" s="14"/>
      <c r="B784" s="15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75" customHeight="1" x14ac:dyDescent="0.3">
      <c r="A785" s="14"/>
      <c r="B785" s="15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75" customHeight="1" x14ac:dyDescent="0.3">
      <c r="A786" s="14"/>
      <c r="B786" s="15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75" customHeight="1" x14ac:dyDescent="0.3">
      <c r="A787" s="14"/>
      <c r="B787" s="15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75" customHeight="1" x14ac:dyDescent="0.3">
      <c r="A788" s="14"/>
      <c r="B788" s="15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75" customHeight="1" x14ac:dyDescent="0.3">
      <c r="A789" s="14"/>
      <c r="B789" s="15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2.75" customHeight="1" x14ac:dyDescent="0.3">
      <c r="A790" s="14"/>
      <c r="B790" s="15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2.75" customHeight="1" x14ac:dyDescent="0.3">
      <c r="A791" s="14"/>
      <c r="B791" s="15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2.75" customHeight="1" x14ac:dyDescent="0.3">
      <c r="A792" s="14"/>
      <c r="B792" s="15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2.75" customHeight="1" x14ac:dyDescent="0.3">
      <c r="A793" s="14"/>
      <c r="B793" s="15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2.75" customHeight="1" x14ac:dyDescent="0.3">
      <c r="A794" s="14"/>
      <c r="B794" s="15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2.75" customHeight="1" x14ac:dyDescent="0.3">
      <c r="A795" s="14"/>
      <c r="B795" s="15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75" customHeight="1" x14ac:dyDescent="0.3">
      <c r="A796" s="14"/>
      <c r="B796" s="15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75" customHeight="1" x14ac:dyDescent="0.3">
      <c r="A797" s="14"/>
      <c r="B797" s="15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75" customHeight="1" x14ac:dyDescent="0.3">
      <c r="A798" s="14"/>
      <c r="B798" s="15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75" customHeight="1" x14ac:dyDescent="0.3">
      <c r="A799" s="14"/>
      <c r="B799" s="15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2.75" customHeight="1" x14ac:dyDescent="0.3">
      <c r="A800" s="14"/>
      <c r="B800" s="15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2.75" customHeight="1" x14ac:dyDescent="0.3">
      <c r="A801" s="14"/>
      <c r="B801" s="15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75" customHeight="1" x14ac:dyDescent="0.3">
      <c r="A802" s="14"/>
      <c r="B802" s="15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2.75" customHeight="1" x14ac:dyDescent="0.3">
      <c r="A803" s="14"/>
      <c r="B803" s="15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2.75" customHeight="1" x14ac:dyDescent="0.3">
      <c r="A804" s="14"/>
      <c r="B804" s="15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2.75" customHeight="1" x14ac:dyDescent="0.3">
      <c r="A805" s="14"/>
      <c r="B805" s="15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2.75" customHeight="1" x14ac:dyDescent="0.3">
      <c r="A806" s="14"/>
      <c r="B806" s="15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2.75" customHeight="1" x14ac:dyDescent="0.3">
      <c r="A807" s="14"/>
      <c r="B807" s="15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2.75" customHeight="1" x14ac:dyDescent="0.3">
      <c r="A808" s="14"/>
      <c r="B808" s="15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2.75" customHeight="1" x14ac:dyDescent="0.3">
      <c r="A809" s="14"/>
      <c r="B809" s="15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2.75" customHeight="1" x14ac:dyDescent="0.3">
      <c r="A810" s="14"/>
      <c r="B810" s="15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2.75" customHeight="1" x14ac:dyDescent="0.3">
      <c r="A811" s="14"/>
      <c r="B811" s="15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2.75" customHeight="1" x14ac:dyDescent="0.3">
      <c r="A812" s="14"/>
      <c r="B812" s="15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2.75" customHeight="1" x14ac:dyDescent="0.3">
      <c r="A813" s="14"/>
      <c r="B813" s="15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2.75" customHeight="1" x14ac:dyDescent="0.3">
      <c r="A814" s="14"/>
      <c r="B814" s="15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2.75" customHeight="1" x14ac:dyDescent="0.3">
      <c r="A815" s="14"/>
      <c r="B815" s="15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2.75" customHeight="1" x14ac:dyDescent="0.3">
      <c r="A816" s="14"/>
      <c r="B816" s="15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2.75" customHeight="1" x14ac:dyDescent="0.3">
      <c r="A817" s="14"/>
      <c r="B817" s="15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2.75" customHeight="1" x14ac:dyDescent="0.3">
      <c r="A818" s="14"/>
      <c r="B818" s="15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2.75" customHeight="1" x14ac:dyDescent="0.3">
      <c r="A819" s="14"/>
      <c r="B819" s="15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2.75" customHeight="1" x14ac:dyDescent="0.3">
      <c r="A820" s="14"/>
      <c r="B820" s="15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2.75" customHeight="1" x14ac:dyDescent="0.3">
      <c r="A821" s="14"/>
      <c r="B821" s="15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2.75" customHeight="1" x14ac:dyDescent="0.3">
      <c r="A822" s="14"/>
      <c r="B822" s="15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2.75" customHeight="1" x14ac:dyDescent="0.3">
      <c r="A823" s="14"/>
      <c r="B823" s="15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2.75" customHeight="1" x14ac:dyDescent="0.3">
      <c r="A824" s="14"/>
      <c r="B824" s="15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2.75" customHeight="1" x14ac:dyDescent="0.3">
      <c r="A825" s="14"/>
      <c r="B825" s="15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2.75" customHeight="1" x14ac:dyDescent="0.3">
      <c r="A826" s="14"/>
      <c r="B826" s="15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2.75" customHeight="1" x14ac:dyDescent="0.3">
      <c r="A827" s="14"/>
      <c r="B827" s="15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2.75" customHeight="1" x14ac:dyDescent="0.3">
      <c r="A828" s="14"/>
      <c r="B828" s="15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2.75" customHeight="1" x14ac:dyDescent="0.3">
      <c r="A829" s="14"/>
      <c r="B829" s="15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2.75" customHeight="1" x14ac:dyDescent="0.3">
      <c r="A830" s="14"/>
      <c r="B830" s="15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2.75" customHeight="1" x14ac:dyDescent="0.3">
      <c r="A831" s="14"/>
      <c r="B831" s="15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2.75" customHeight="1" x14ac:dyDescent="0.3">
      <c r="A832" s="14"/>
      <c r="B832" s="15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2.75" customHeight="1" x14ac:dyDescent="0.3">
      <c r="A833" s="14"/>
      <c r="B833" s="15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2.75" customHeight="1" x14ac:dyDescent="0.3">
      <c r="A834" s="14"/>
      <c r="B834" s="15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2.75" customHeight="1" x14ac:dyDescent="0.3">
      <c r="A835" s="14"/>
      <c r="B835" s="15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2.75" customHeight="1" x14ac:dyDescent="0.3">
      <c r="A836" s="14"/>
      <c r="B836" s="15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2.75" customHeight="1" x14ac:dyDescent="0.3">
      <c r="A837" s="14"/>
      <c r="B837" s="15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2.75" customHeight="1" x14ac:dyDescent="0.3">
      <c r="A838" s="14"/>
      <c r="B838" s="15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2.75" customHeight="1" x14ac:dyDescent="0.3">
      <c r="A839" s="14"/>
      <c r="B839" s="15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2.75" customHeight="1" x14ac:dyDescent="0.3">
      <c r="A840" s="14"/>
      <c r="B840" s="15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2.75" customHeight="1" x14ac:dyDescent="0.3">
      <c r="A841" s="14"/>
      <c r="B841" s="15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2.75" customHeight="1" x14ac:dyDescent="0.3">
      <c r="A842" s="14"/>
      <c r="B842" s="15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2.75" customHeight="1" x14ac:dyDescent="0.3">
      <c r="A843" s="14"/>
      <c r="B843" s="15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2.75" customHeight="1" x14ac:dyDescent="0.3">
      <c r="A844" s="14"/>
      <c r="B844" s="15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2.75" customHeight="1" x14ac:dyDescent="0.3">
      <c r="A845" s="14"/>
      <c r="B845" s="15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2.75" customHeight="1" x14ac:dyDescent="0.3">
      <c r="A846" s="14"/>
      <c r="B846" s="15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2.75" customHeight="1" x14ac:dyDescent="0.3">
      <c r="A847" s="14"/>
      <c r="B847" s="15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2.75" customHeight="1" x14ac:dyDescent="0.3">
      <c r="A848" s="14"/>
      <c r="B848" s="15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2.75" customHeight="1" x14ac:dyDescent="0.3">
      <c r="A849" s="14"/>
      <c r="B849" s="15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2.75" customHeight="1" x14ac:dyDescent="0.3">
      <c r="A850" s="14"/>
      <c r="B850" s="15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2.75" customHeight="1" x14ac:dyDescent="0.3">
      <c r="A851" s="14"/>
      <c r="B851" s="15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2.75" customHeight="1" x14ac:dyDescent="0.3">
      <c r="A852" s="14"/>
      <c r="B852" s="15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2.75" customHeight="1" x14ac:dyDescent="0.3">
      <c r="A853" s="14"/>
      <c r="B853" s="15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2.75" customHeight="1" x14ac:dyDescent="0.3">
      <c r="A854" s="14"/>
      <c r="B854" s="15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2.75" customHeight="1" x14ac:dyDescent="0.3">
      <c r="A855" s="14"/>
      <c r="B855" s="15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2.75" customHeight="1" x14ac:dyDescent="0.3">
      <c r="A856" s="14"/>
      <c r="B856" s="15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2.75" customHeight="1" x14ac:dyDescent="0.3">
      <c r="A857" s="14"/>
      <c r="B857" s="15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2.75" customHeight="1" x14ac:dyDescent="0.3">
      <c r="A858" s="14"/>
      <c r="B858" s="15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2.75" customHeight="1" x14ac:dyDescent="0.3">
      <c r="A859" s="14"/>
      <c r="B859" s="15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2.75" customHeight="1" x14ac:dyDescent="0.3">
      <c r="A860" s="14"/>
      <c r="B860" s="15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2.75" customHeight="1" x14ac:dyDescent="0.3">
      <c r="A861" s="14"/>
      <c r="B861" s="15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2.75" customHeight="1" x14ac:dyDescent="0.3">
      <c r="A862" s="14"/>
      <c r="B862" s="15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2.75" customHeight="1" x14ac:dyDescent="0.3">
      <c r="A863" s="14"/>
      <c r="B863" s="15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2.75" customHeight="1" x14ac:dyDescent="0.3">
      <c r="A864" s="14"/>
      <c r="B864" s="15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2.75" customHeight="1" x14ac:dyDescent="0.3">
      <c r="A865" s="14"/>
      <c r="B865" s="15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2.75" customHeight="1" x14ac:dyDescent="0.3">
      <c r="A866" s="14"/>
      <c r="B866" s="15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2.75" customHeight="1" x14ac:dyDescent="0.3">
      <c r="A867" s="14"/>
      <c r="B867" s="15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2.75" customHeight="1" x14ac:dyDescent="0.3">
      <c r="A868" s="14"/>
      <c r="B868" s="15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2.75" customHeight="1" x14ac:dyDescent="0.3">
      <c r="A869" s="14"/>
      <c r="B869" s="15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2.75" customHeight="1" x14ac:dyDescent="0.3">
      <c r="A870" s="14"/>
      <c r="B870" s="15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2.75" customHeight="1" x14ac:dyDescent="0.3">
      <c r="A871" s="14"/>
      <c r="B871" s="15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75" customHeight="1" x14ac:dyDescent="0.3">
      <c r="A872" s="14"/>
      <c r="B872" s="15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75" customHeight="1" x14ac:dyDescent="0.3">
      <c r="A873" s="14"/>
      <c r="B873" s="15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75" customHeight="1" x14ac:dyDescent="0.3">
      <c r="A874" s="14"/>
      <c r="B874" s="15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75" customHeight="1" x14ac:dyDescent="0.3">
      <c r="A875" s="14"/>
      <c r="B875" s="15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75" customHeight="1" x14ac:dyDescent="0.3">
      <c r="A876" s="14"/>
      <c r="B876" s="15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75" customHeight="1" x14ac:dyDescent="0.3">
      <c r="A877" s="14"/>
      <c r="B877" s="15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75" customHeight="1" x14ac:dyDescent="0.3">
      <c r="A878" s="14"/>
      <c r="B878" s="15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75" customHeight="1" x14ac:dyDescent="0.3">
      <c r="A879" s="14"/>
      <c r="B879" s="15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2.75" customHeight="1" x14ac:dyDescent="0.3">
      <c r="A880" s="14"/>
      <c r="B880" s="15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75" customHeight="1" x14ac:dyDescent="0.3">
      <c r="A881" s="14"/>
      <c r="B881" s="15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75" customHeight="1" x14ac:dyDescent="0.3">
      <c r="A882" s="14"/>
      <c r="B882" s="15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75" customHeight="1" x14ac:dyDescent="0.3">
      <c r="A883" s="14"/>
      <c r="B883" s="15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75" customHeight="1" x14ac:dyDescent="0.3">
      <c r="A884" s="14"/>
      <c r="B884" s="15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75" customHeight="1" x14ac:dyDescent="0.3">
      <c r="A885" s="14"/>
      <c r="B885" s="15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75" customHeight="1" x14ac:dyDescent="0.3">
      <c r="A886" s="14"/>
      <c r="B886" s="15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75" customHeight="1" x14ac:dyDescent="0.3">
      <c r="A887" s="14"/>
      <c r="B887" s="15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75" customHeight="1" x14ac:dyDescent="0.3">
      <c r="A888" s="14"/>
      <c r="B888" s="15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2.75" customHeight="1" x14ac:dyDescent="0.3">
      <c r="A889" s="14"/>
      <c r="B889" s="15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75" customHeight="1" x14ac:dyDescent="0.3">
      <c r="A890" s="14"/>
      <c r="B890" s="15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75" customHeight="1" x14ac:dyDescent="0.3">
      <c r="A891" s="14"/>
      <c r="B891" s="15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75" customHeight="1" x14ac:dyDescent="0.3">
      <c r="A892" s="14"/>
      <c r="B892" s="15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75" customHeight="1" x14ac:dyDescent="0.3">
      <c r="A893" s="14"/>
      <c r="B893" s="15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75" customHeight="1" x14ac:dyDescent="0.3">
      <c r="A894" s="14"/>
      <c r="B894" s="15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75" customHeight="1" x14ac:dyDescent="0.3">
      <c r="A895" s="14"/>
      <c r="B895" s="15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75" customHeight="1" x14ac:dyDescent="0.3">
      <c r="A896" s="14"/>
      <c r="B896" s="15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75" customHeight="1" x14ac:dyDescent="0.3">
      <c r="A897" s="14"/>
      <c r="B897" s="15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2.75" customHeight="1" x14ac:dyDescent="0.3">
      <c r="A898" s="14"/>
      <c r="B898" s="15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75" customHeight="1" x14ac:dyDescent="0.3">
      <c r="A899" s="14"/>
      <c r="B899" s="15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75" customHeight="1" x14ac:dyDescent="0.3">
      <c r="A900" s="14"/>
      <c r="B900" s="15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75" customHeight="1" x14ac:dyDescent="0.3">
      <c r="A901" s="14"/>
      <c r="B901" s="15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75" customHeight="1" x14ac:dyDescent="0.3">
      <c r="A902" s="14"/>
      <c r="B902" s="15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75" customHeight="1" x14ac:dyDescent="0.3">
      <c r="A903" s="14"/>
      <c r="B903" s="15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75" customHeight="1" x14ac:dyDescent="0.3">
      <c r="A904" s="14"/>
      <c r="B904" s="15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75" customHeight="1" x14ac:dyDescent="0.3">
      <c r="A905" s="14"/>
      <c r="B905" s="15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75" customHeight="1" x14ac:dyDescent="0.3">
      <c r="A906" s="14"/>
      <c r="B906" s="15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2.75" customHeight="1" x14ac:dyDescent="0.3">
      <c r="A907" s="14"/>
      <c r="B907" s="15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75" customHeight="1" x14ac:dyDescent="0.3">
      <c r="A908" s="14"/>
      <c r="B908" s="15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75" customHeight="1" x14ac:dyDescent="0.3">
      <c r="A909" s="14"/>
      <c r="B909" s="15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75" customHeight="1" x14ac:dyDescent="0.3">
      <c r="A910" s="14"/>
      <c r="B910" s="15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75" customHeight="1" x14ac:dyDescent="0.3">
      <c r="A911" s="14"/>
      <c r="B911" s="15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75" customHeight="1" x14ac:dyDescent="0.3">
      <c r="A912" s="14"/>
      <c r="B912" s="15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75" customHeight="1" x14ac:dyDescent="0.3">
      <c r="A913" s="14"/>
      <c r="B913" s="15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75" customHeight="1" x14ac:dyDescent="0.3">
      <c r="A914" s="14"/>
      <c r="B914" s="15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75" customHeight="1" x14ac:dyDescent="0.3">
      <c r="A915" s="14"/>
      <c r="B915" s="15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2.75" customHeight="1" x14ac:dyDescent="0.3">
      <c r="A916" s="14"/>
      <c r="B916" s="15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75" customHeight="1" x14ac:dyDescent="0.3">
      <c r="A917" s="14"/>
      <c r="B917" s="15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75" customHeight="1" x14ac:dyDescent="0.3">
      <c r="A918" s="14"/>
      <c r="B918" s="15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75" customHeight="1" x14ac:dyDescent="0.3">
      <c r="A919" s="14"/>
      <c r="B919" s="15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75" customHeight="1" x14ac:dyDescent="0.3">
      <c r="A920" s="14"/>
      <c r="B920" s="15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75" customHeight="1" x14ac:dyDescent="0.3">
      <c r="A921" s="14"/>
      <c r="B921" s="15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75" customHeight="1" x14ac:dyDescent="0.3">
      <c r="A922" s="14"/>
      <c r="B922" s="15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75" customHeight="1" x14ac:dyDescent="0.3">
      <c r="A923" s="14"/>
      <c r="B923" s="15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75" customHeight="1" x14ac:dyDescent="0.3">
      <c r="A924" s="14"/>
      <c r="B924" s="15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2.75" customHeight="1" x14ac:dyDescent="0.3">
      <c r="A925" s="14"/>
      <c r="B925" s="15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75" customHeight="1" x14ac:dyDescent="0.3">
      <c r="A926" s="14"/>
      <c r="B926" s="15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75" customHeight="1" x14ac:dyDescent="0.3">
      <c r="A927" s="14"/>
      <c r="B927" s="15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75" customHeight="1" x14ac:dyDescent="0.3">
      <c r="A928" s="14"/>
      <c r="B928" s="15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75" customHeight="1" x14ac:dyDescent="0.3">
      <c r="A929" s="14"/>
      <c r="B929" s="15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2.75" customHeight="1" x14ac:dyDescent="0.3">
      <c r="A930" s="14"/>
      <c r="B930" s="15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.75" customHeight="1" x14ac:dyDescent="0.3">
      <c r="A931" s="14"/>
      <c r="B931" s="15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2.75" customHeight="1" x14ac:dyDescent="0.3">
      <c r="A932" s="14"/>
      <c r="B932" s="15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2.75" customHeight="1" x14ac:dyDescent="0.3">
      <c r="A933" s="14"/>
      <c r="B933" s="15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2.75" customHeight="1" x14ac:dyDescent="0.3">
      <c r="A934" s="14"/>
      <c r="B934" s="15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2.75" customHeight="1" x14ac:dyDescent="0.3">
      <c r="A935" s="14"/>
      <c r="B935" s="15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2.75" customHeight="1" x14ac:dyDescent="0.3">
      <c r="A936" s="14"/>
      <c r="B936" s="15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2.75" customHeight="1" x14ac:dyDescent="0.3">
      <c r="A937" s="14"/>
      <c r="B937" s="15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2.75" customHeight="1" x14ac:dyDescent="0.3">
      <c r="A938" s="14"/>
      <c r="B938" s="15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2.75" customHeight="1" x14ac:dyDescent="0.3">
      <c r="A939" s="14"/>
      <c r="B939" s="15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2.75" customHeight="1" x14ac:dyDescent="0.3">
      <c r="A940" s="14"/>
      <c r="B940" s="15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2.75" customHeight="1" x14ac:dyDescent="0.3">
      <c r="A941" s="14"/>
      <c r="B941" s="15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2.75" customHeight="1" x14ac:dyDescent="0.3">
      <c r="A942" s="14"/>
      <c r="B942" s="15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2.75" customHeight="1" x14ac:dyDescent="0.3">
      <c r="A943" s="14"/>
      <c r="B943" s="15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2.75" customHeight="1" x14ac:dyDescent="0.3">
      <c r="A944" s="14"/>
      <c r="B944" s="15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2.75" customHeight="1" x14ac:dyDescent="0.3">
      <c r="A945" s="14"/>
      <c r="B945" s="15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2.75" customHeight="1" x14ac:dyDescent="0.3">
      <c r="A946" s="14"/>
      <c r="B946" s="15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2.75" customHeight="1" x14ac:dyDescent="0.3">
      <c r="A947" s="14"/>
      <c r="B947" s="15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2.75" customHeight="1" x14ac:dyDescent="0.3">
      <c r="A948" s="14"/>
      <c r="B948" s="15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2.75" customHeight="1" x14ac:dyDescent="0.3">
      <c r="A949" s="14"/>
      <c r="B949" s="15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2.75" customHeight="1" x14ac:dyDescent="0.3">
      <c r="A950" s="14"/>
      <c r="B950" s="15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2.75" customHeight="1" x14ac:dyDescent="0.3">
      <c r="A951" s="14"/>
      <c r="B951" s="15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2.75" customHeight="1" x14ac:dyDescent="0.3">
      <c r="A952" s="14"/>
      <c r="B952" s="15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2.75" customHeight="1" x14ac:dyDescent="0.3">
      <c r="A953" s="14"/>
      <c r="B953" s="15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2.75" customHeight="1" x14ac:dyDescent="0.3">
      <c r="A954" s="14"/>
      <c r="B954" s="15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2.75" customHeight="1" x14ac:dyDescent="0.3">
      <c r="A955" s="14"/>
      <c r="B955" s="15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2.75" customHeight="1" x14ac:dyDescent="0.3">
      <c r="A956" s="14"/>
      <c r="B956" s="15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2.75" customHeight="1" x14ac:dyDescent="0.3">
      <c r="A957" s="14"/>
      <c r="B957" s="15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2.75" customHeight="1" x14ac:dyDescent="0.3">
      <c r="A958" s="14"/>
      <c r="B958" s="15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2.75" customHeight="1" x14ac:dyDescent="0.3">
      <c r="A959" s="14"/>
      <c r="B959" s="15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2.75" customHeight="1" x14ac:dyDescent="0.3">
      <c r="A960" s="14"/>
      <c r="B960" s="15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2.75" customHeight="1" x14ac:dyDescent="0.3">
      <c r="A961" s="14"/>
      <c r="B961" s="15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2.75" customHeight="1" x14ac:dyDescent="0.3">
      <c r="A962" s="14"/>
      <c r="B962" s="15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2.75" customHeight="1" x14ac:dyDescent="0.3">
      <c r="A963" s="14"/>
      <c r="B963" s="15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2.75" customHeight="1" x14ac:dyDescent="0.3">
      <c r="A964" s="14"/>
      <c r="B964" s="15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2.75" customHeight="1" x14ac:dyDescent="0.3">
      <c r="A965" s="14"/>
      <c r="B965" s="15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2.75" customHeight="1" x14ac:dyDescent="0.3">
      <c r="A966" s="14"/>
      <c r="B966" s="15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2.75" customHeight="1" x14ac:dyDescent="0.3">
      <c r="A967" s="14"/>
      <c r="B967" s="15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2.75" customHeight="1" x14ac:dyDescent="0.3">
      <c r="A968" s="14"/>
      <c r="B968" s="15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2.75" customHeight="1" x14ac:dyDescent="0.3">
      <c r="A969" s="14"/>
      <c r="B969" s="15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2.75" customHeight="1" x14ac:dyDescent="0.3">
      <c r="A970" s="14"/>
      <c r="B970" s="15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2.75" customHeight="1" x14ac:dyDescent="0.3">
      <c r="A971" s="14"/>
      <c r="B971" s="15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2.75" customHeight="1" x14ac:dyDescent="0.3">
      <c r="A972" s="14"/>
      <c r="B972" s="15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2.75" customHeight="1" x14ac:dyDescent="0.3">
      <c r="A973" s="14"/>
      <c r="B973" s="15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2.75" customHeight="1" x14ac:dyDescent="0.3">
      <c r="A974" s="14"/>
      <c r="B974" s="15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2.75" customHeight="1" x14ac:dyDescent="0.3">
      <c r="A975" s="14"/>
      <c r="B975" s="15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2.75" customHeight="1" x14ac:dyDescent="0.3">
      <c r="A976" s="14"/>
      <c r="B976" s="15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2.75" customHeight="1" x14ac:dyDescent="0.3">
      <c r="A977" s="14"/>
      <c r="B977" s="15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2.75" customHeight="1" x14ac:dyDescent="0.3">
      <c r="A978" s="14"/>
      <c r="B978" s="15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2.75" customHeight="1" x14ac:dyDescent="0.3">
      <c r="A979" s="14"/>
      <c r="B979" s="15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2.75" customHeight="1" x14ac:dyDescent="0.3">
      <c r="A980" s="14"/>
      <c r="B980" s="15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2.75" customHeight="1" x14ac:dyDescent="0.3">
      <c r="A981" s="14"/>
      <c r="B981" s="15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2.75" customHeight="1" x14ac:dyDescent="0.3">
      <c r="A982" s="14"/>
      <c r="B982" s="15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2.75" customHeight="1" x14ac:dyDescent="0.3">
      <c r="A983" s="14"/>
      <c r="B983" s="15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2.75" customHeight="1" x14ac:dyDescent="0.3">
      <c r="A984" s="14"/>
      <c r="B984" s="15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2.75" customHeight="1" x14ac:dyDescent="0.3">
      <c r="A985" s="14"/>
      <c r="B985" s="15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2.75" customHeight="1" x14ac:dyDescent="0.3">
      <c r="A986" s="14"/>
      <c r="B986" s="15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2.75" customHeight="1" x14ac:dyDescent="0.3">
      <c r="A987" s="14"/>
      <c r="B987" s="15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2.75" customHeight="1" x14ac:dyDescent="0.3">
      <c r="A988" s="14"/>
      <c r="B988" s="15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2.75" customHeight="1" x14ac:dyDescent="0.3">
      <c r="A989" s="14"/>
      <c r="B989" s="15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2.75" customHeight="1" x14ac:dyDescent="0.3">
      <c r="A990" s="14"/>
      <c r="B990" s="15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2.75" customHeight="1" x14ac:dyDescent="0.3">
      <c r="A991" s="14"/>
      <c r="B991" s="15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2.75" customHeight="1" x14ac:dyDescent="0.3">
      <c r="A992" s="14"/>
      <c r="B992" s="15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2.75" customHeight="1" x14ac:dyDescent="0.3">
      <c r="A993" s="14"/>
      <c r="B993" s="15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2.75" customHeight="1" x14ac:dyDescent="0.3">
      <c r="A994" s="14"/>
      <c r="B994" s="15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2.75" customHeight="1" x14ac:dyDescent="0.3">
      <c r="A995" s="14"/>
      <c r="B995" s="15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2.75" customHeight="1" x14ac:dyDescent="0.3">
      <c r="A996" s="14"/>
      <c r="B996" s="15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2.75" customHeight="1" x14ac:dyDescent="0.3">
      <c r="A997" s="14"/>
      <c r="B997" s="15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2.75" customHeight="1" x14ac:dyDescent="0.3">
      <c r="A998" s="14"/>
      <c r="B998" s="15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2.75" customHeight="1" x14ac:dyDescent="0.3">
      <c r="A999" s="14"/>
      <c r="B999" s="15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2.75" customHeight="1" x14ac:dyDescent="0.3">
      <c r="A1000" s="14"/>
      <c r="B1000" s="15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5">
    <mergeCell ref="B2:G2"/>
    <mergeCell ref="C4:E4"/>
    <mergeCell ref="C5:E5"/>
    <mergeCell ref="B6:B7"/>
    <mergeCell ref="C6:E7"/>
  </mergeCells>
  <hyperlinks>
    <hyperlink ref="C5" r:id="rId1" xr:uid="{9F5C39A0-6D71-4417-8281-D1C10513F129}"/>
  </hyperlink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/>
  </sheetViews>
  <sheetFormatPr defaultColWidth="14.44140625" defaultRowHeight="14.4" x14ac:dyDescent="0.3"/>
  <cols>
    <col min="1" max="1" width="1.5546875" style="13" customWidth="1"/>
    <col min="2" max="2" width="13.44140625" style="13" customWidth="1"/>
    <col min="3" max="3" width="30.33203125" style="13" customWidth="1"/>
    <col min="4" max="4" width="24" style="13" customWidth="1"/>
    <col min="5" max="5" width="40" style="13" customWidth="1"/>
    <col min="6" max="6" width="35" style="13" customWidth="1"/>
    <col min="7" max="26" width="9.109375" style="13" customWidth="1"/>
  </cols>
  <sheetData>
    <row r="1" spans="1:26" ht="25.5" customHeight="1" x14ac:dyDescent="0.4">
      <c r="A1" s="20"/>
      <c r="B1" s="43"/>
      <c r="C1" s="44"/>
      <c r="D1" s="45" t="s">
        <v>19</v>
      </c>
      <c r="E1" s="46"/>
      <c r="F1" s="44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3.5" customHeight="1" x14ac:dyDescent="0.3">
      <c r="A2" s="20"/>
      <c r="B2" s="43"/>
      <c r="C2" s="44"/>
      <c r="D2" s="47"/>
      <c r="E2" s="47"/>
      <c r="F2" s="44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 x14ac:dyDescent="0.3">
      <c r="A3" s="20"/>
      <c r="B3" s="8" t="s">
        <v>1</v>
      </c>
      <c r="C3" s="8"/>
      <c r="D3" s="7" t="str">
        <f>Cover!C4</f>
        <v>KICAP</v>
      </c>
      <c r="E3" s="7"/>
      <c r="F3" s="7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 x14ac:dyDescent="0.3">
      <c r="A4" s="20"/>
      <c r="B4" s="8" t="s">
        <v>5</v>
      </c>
      <c r="C4" s="8"/>
      <c r="D4" s="7" t="str">
        <f>Cover!C5</f>
        <v>https://github.com/TuanHoangMinh12/Kiem_Thu_Nhom16</v>
      </c>
      <c r="E4" s="7"/>
      <c r="F4" s="7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09.5" customHeight="1" x14ac:dyDescent="0.3">
      <c r="A5" s="48"/>
      <c r="B5" s="6" t="s">
        <v>20</v>
      </c>
      <c r="C5" s="6"/>
      <c r="D5" s="5" t="s">
        <v>21</v>
      </c>
      <c r="E5" s="5"/>
      <c r="F5" s="5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2.75" customHeight="1" x14ac:dyDescent="0.3">
      <c r="A6" s="20"/>
      <c r="B6" s="4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3">
      <c r="A7" s="50"/>
      <c r="B7" s="51"/>
      <c r="C7" s="52"/>
      <c r="D7" s="52"/>
      <c r="E7" s="52"/>
      <c r="F7" s="52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21" customHeight="1" x14ac:dyDescent="0.3">
      <c r="A8" s="53"/>
      <c r="B8" s="54" t="s">
        <v>22</v>
      </c>
      <c r="C8" s="55" t="s">
        <v>23</v>
      </c>
      <c r="D8" s="55" t="s">
        <v>24</v>
      </c>
      <c r="E8" s="56" t="s">
        <v>25</v>
      </c>
      <c r="F8" s="57" t="s">
        <v>26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54.75" customHeight="1" x14ac:dyDescent="0.3">
      <c r="A9" s="20"/>
      <c r="B9" s="58">
        <v>1</v>
      </c>
      <c r="C9" s="59" t="s">
        <v>27</v>
      </c>
      <c r="D9" s="60" t="s">
        <v>28</v>
      </c>
      <c r="E9" s="60" t="s">
        <v>29</v>
      </c>
      <c r="F9" s="61" t="s">
        <v>30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3.5" customHeight="1" x14ac:dyDescent="0.3">
      <c r="A10" s="20"/>
      <c r="B10" s="58"/>
      <c r="C10" s="62"/>
      <c r="D10" s="63"/>
      <c r="E10" s="64"/>
      <c r="F10" s="65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3">
      <c r="A11" s="20"/>
      <c r="B11" s="58"/>
      <c r="C11" s="66"/>
      <c r="D11" s="64"/>
      <c r="E11" s="67"/>
      <c r="F11" s="65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3">
      <c r="A12" s="20"/>
      <c r="B12" s="58"/>
      <c r="C12" s="62"/>
      <c r="D12" s="64"/>
      <c r="E12" s="64"/>
      <c r="F12" s="65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3">
      <c r="A13" s="20"/>
      <c r="B13" s="58"/>
      <c r="C13" s="62"/>
      <c r="D13" s="64"/>
      <c r="E13" s="64"/>
      <c r="F13" s="65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3">
      <c r="A14" s="20"/>
      <c r="B14" s="58"/>
      <c r="C14" s="62"/>
      <c r="D14" s="67"/>
      <c r="E14" s="67"/>
      <c r="F14" s="65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3">
      <c r="A15" s="20"/>
      <c r="B15" s="58"/>
      <c r="C15" s="62"/>
      <c r="D15" s="67"/>
      <c r="E15" s="67"/>
      <c r="F15" s="65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3">
      <c r="A16" s="20"/>
      <c r="B16" s="58"/>
      <c r="C16" s="62"/>
      <c r="D16" s="67"/>
      <c r="E16" s="67"/>
      <c r="F16" s="65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3">
      <c r="A17" s="20"/>
      <c r="B17" s="58"/>
      <c r="C17" s="62"/>
      <c r="D17" s="67"/>
      <c r="E17" s="67"/>
      <c r="F17" s="65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3">
      <c r="A18" s="20"/>
      <c r="B18" s="58"/>
      <c r="C18" s="62"/>
      <c r="D18" s="67"/>
      <c r="E18" s="67"/>
      <c r="F18" s="65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3">
      <c r="A19" s="20"/>
      <c r="B19" s="58"/>
      <c r="C19" s="62"/>
      <c r="D19" s="67"/>
      <c r="E19" s="67"/>
      <c r="F19" s="65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3">
      <c r="A20" s="20"/>
      <c r="B20" s="58"/>
      <c r="C20" s="62"/>
      <c r="D20" s="67"/>
      <c r="E20" s="67"/>
      <c r="F20" s="65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3">
      <c r="A21" s="20"/>
      <c r="B21" s="68"/>
      <c r="C21" s="69"/>
      <c r="D21" s="70"/>
      <c r="E21" s="70"/>
      <c r="F21" s="71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3">
      <c r="A22" s="20"/>
      <c r="B22" s="43"/>
      <c r="C22" s="44"/>
      <c r="D22" s="44"/>
      <c r="E22" s="44"/>
      <c r="F22" s="44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3">
      <c r="A23" s="20"/>
      <c r="B23" s="43"/>
      <c r="C23" s="44"/>
      <c r="D23" s="44"/>
      <c r="E23" s="44"/>
      <c r="F23" s="44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3">
      <c r="A24" s="20"/>
      <c r="B24" s="43"/>
      <c r="C24" s="44"/>
      <c r="D24" s="44"/>
      <c r="E24" s="44"/>
      <c r="F24" s="44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3">
      <c r="A25" s="20"/>
      <c r="B25" s="43"/>
      <c r="C25" s="44"/>
      <c r="D25" s="44"/>
      <c r="E25" s="44"/>
      <c r="F25" s="44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3">
      <c r="A26" s="20"/>
      <c r="B26" s="43"/>
      <c r="C26" s="44"/>
      <c r="D26" s="44"/>
      <c r="E26" s="44"/>
      <c r="F26" s="44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3">
      <c r="A27" s="20"/>
      <c r="B27" s="43"/>
      <c r="C27" s="44"/>
      <c r="D27" s="44"/>
      <c r="E27" s="44"/>
      <c r="F27" s="44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3">
      <c r="A28" s="20"/>
      <c r="B28" s="43"/>
      <c r="C28" s="44"/>
      <c r="D28" s="44"/>
      <c r="E28" s="44"/>
      <c r="F28" s="44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3">
      <c r="A29" s="20"/>
      <c r="B29" s="43"/>
      <c r="C29" s="44"/>
      <c r="D29" s="44"/>
      <c r="E29" s="44"/>
      <c r="F29" s="44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3">
      <c r="A30" s="20"/>
      <c r="B30" s="43"/>
      <c r="C30" s="44"/>
      <c r="D30" s="44"/>
      <c r="E30" s="44"/>
      <c r="F30" s="44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3">
      <c r="A31" s="20"/>
      <c r="B31" s="43"/>
      <c r="C31" s="44"/>
      <c r="D31" s="44"/>
      <c r="E31" s="44"/>
      <c r="F31" s="44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3">
      <c r="A32" s="20"/>
      <c r="B32" s="43"/>
      <c r="C32" s="44"/>
      <c r="D32" s="44"/>
      <c r="E32" s="44"/>
      <c r="F32" s="44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3">
      <c r="A33" s="20"/>
      <c r="B33" s="43"/>
      <c r="C33" s="44"/>
      <c r="D33" s="44"/>
      <c r="E33" s="44"/>
      <c r="F33" s="4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3">
      <c r="A34" s="20"/>
      <c r="B34" s="43"/>
      <c r="C34" s="44"/>
      <c r="D34" s="44"/>
      <c r="E34" s="44"/>
      <c r="F34" s="44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3">
      <c r="A35" s="20"/>
      <c r="B35" s="43"/>
      <c r="C35" s="44"/>
      <c r="D35" s="44"/>
      <c r="E35" s="44"/>
      <c r="F35" s="44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3">
      <c r="A36" s="20"/>
      <c r="B36" s="43"/>
      <c r="C36" s="44"/>
      <c r="D36" s="44"/>
      <c r="E36" s="44"/>
      <c r="F36" s="44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3">
      <c r="A37" s="20"/>
      <c r="B37" s="43"/>
      <c r="C37" s="44"/>
      <c r="D37" s="44"/>
      <c r="E37" s="44"/>
      <c r="F37" s="44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3">
      <c r="A38" s="20"/>
      <c r="B38" s="43"/>
      <c r="C38" s="44"/>
      <c r="D38" s="44"/>
      <c r="E38" s="44"/>
      <c r="F38" s="44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3">
      <c r="A39" s="20"/>
      <c r="B39" s="43"/>
      <c r="C39" s="44"/>
      <c r="D39" s="44"/>
      <c r="E39" s="44"/>
      <c r="F39" s="44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3">
      <c r="A40" s="20"/>
      <c r="B40" s="43"/>
      <c r="C40" s="44"/>
      <c r="D40" s="44"/>
      <c r="E40" s="44"/>
      <c r="F40" s="44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3">
      <c r="A41" s="20"/>
      <c r="B41" s="43"/>
      <c r="C41" s="44"/>
      <c r="D41" s="44"/>
      <c r="E41" s="44"/>
      <c r="F41" s="44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3">
      <c r="A42" s="20"/>
      <c r="B42" s="43"/>
      <c r="C42" s="44"/>
      <c r="D42" s="44"/>
      <c r="E42" s="44"/>
      <c r="F42" s="44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3">
      <c r="A43" s="20"/>
      <c r="B43" s="43"/>
      <c r="C43" s="44"/>
      <c r="D43" s="44"/>
      <c r="E43" s="44"/>
      <c r="F43" s="44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3">
      <c r="A44" s="20"/>
      <c r="B44" s="43"/>
      <c r="C44" s="44"/>
      <c r="D44" s="44"/>
      <c r="E44" s="44"/>
      <c r="F44" s="4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3">
      <c r="A45" s="20"/>
      <c r="B45" s="43"/>
      <c r="C45" s="44"/>
      <c r="D45" s="44"/>
      <c r="E45" s="44"/>
      <c r="F45" s="44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3">
      <c r="A46" s="20"/>
      <c r="B46" s="43"/>
      <c r="C46" s="44"/>
      <c r="D46" s="44"/>
      <c r="E46" s="44"/>
      <c r="F46" s="44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3">
      <c r="A47" s="20"/>
      <c r="B47" s="43"/>
      <c r="C47" s="44"/>
      <c r="D47" s="44"/>
      <c r="E47" s="44"/>
      <c r="F47" s="44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3">
      <c r="A48" s="20"/>
      <c r="B48" s="43"/>
      <c r="C48" s="44"/>
      <c r="D48" s="44"/>
      <c r="E48" s="44"/>
      <c r="F48" s="44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3">
      <c r="A49" s="20"/>
      <c r="B49" s="43"/>
      <c r="C49" s="44"/>
      <c r="D49" s="44"/>
      <c r="E49" s="44"/>
      <c r="F49" s="44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3">
      <c r="A50" s="20"/>
      <c r="B50" s="43"/>
      <c r="C50" s="44"/>
      <c r="D50" s="44"/>
      <c r="E50" s="44"/>
      <c r="F50" s="44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3">
      <c r="A51" s="20"/>
      <c r="B51" s="43"/>
      <c r="C51" s="44"/>
      <c r="D51" s="44"/>
      <c r="E51" s="44"/>
      <c r="F51" s="44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3">
      <c r="A52" s="20"/>
      <c r="B52" s="43"/>
      <c r="C52" s="44"/>
      <c r="D52" s="44"/>
      <c r="E52" s="44"/>
      <c r="F52" s="44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3">
      <c r="A53" s="20"/>
      <c r="B53" s="43"/>
      <c r="C53" s="44"/>
      <c r="D53" s="44"/>
      <c r="E53" s="44"/>
      <c r="F53" s="44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3">
      <c r="A54" s="20"/>
      <c r="B54" s="43"/>
      <c r="C54" s="44"/>
      <c r="D54" s="44"/>
      <c r="E54" s="44"/>
      <c r="F54" s="44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3">
      <c r="A55" s="20"/>
      <c r="B55" s="43"/>
      <c r="C55" s="44"/>
      <c r="D55" s="44"/>
      <c r="E55" s="44"/>
      <c r="F55" s="44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3">
      <c r="A56" s="20"/>
      <c r="B56" s="43"/>
      <c r="C56" s="44"/>
      <c r="D56" s="44"/>
      <c r="E56" s="44"/>
      <c r="F56" s="44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3">
      <c r="A57" s="20"/>
      <c r="B57" s="43"/>
      <c r="C57" s="44"/>
      <c r="D57" s="44"/>
      <c r="E57" s="44"/>
      <c r="F57" s="44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3">
      <c r="A58" s="20"/>
      <c r="B58" s="43"/>
      <c r="C58" s="44"/>
      <c r="D58" s="44"/>
      <c r="E58" s="44"/>
      <c r="F58" s="44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3">
      <c r="A59" s="20"/>
      <c r="B59" s="43"/>
      <c r="C59" s="44"/>
      <c r="D59" s="44"/>
      <c r="E59" s="44"/>
      <c r="F59" s="44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3">
      <c r="A60" s="20"/>
      <c r="B60" s="43"/>
      <c r="C60" s="44"/>
      <c r="D60" s="44"/>
      <c r="E60" s="44"/>
      <c r="F60" s="44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3">
      <c r="A61" s="20"/>
      <c r="B61" s="43"/>
      <c r="C61" s="44"/>
      <c r="D61" s="44"/>
      <c r="E61" s="44"/>
      <c r="F61" s="44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3">
      <c r="A62" s="20"/>
      <c r="B62" s="43"/>
      <c r="C62" s="44"/>
      <c r="D62" s="44"/>
      <c r="E62" s="44"/>
      <c r="F62" s="44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3">
      <c r="A63" s="20"/>
      <c r="B63" s="43"/>
      <c r="C63" s="44"/>
      <c r="D63" s="44"/>
      <c r="E63" s="44"/>
      <c r="F63" s="44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3">
      <c r="A64" s="20"/>
      <c r="B64" s="43"/>
      <c r="C64" s="44"/>
      <c r="D64" s="44"/>
      <c r="E64" s="44"/>
      <c r="F64" s="44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3">
      <c r="A65" s="20"/>
      <c r="B65" s="43"/>
      <c r="C65" s="44"/>
      <c r="D65" s="44"/>
      <c r="E65" s="44"/>
      <c r="F65" s="44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3">
      <c r="A66" s="20"/>
      <c r="B66" s="43"/>
      <c r="C66" s="44"/>
      <c r="D66" s="44"/>
      <c r="E66" s="44"/>
      <c r="F66" s="44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3">
      <c r="A67" s="20"/>
      <c r="B67" s="43"/>
      <c r="C67" s="44"/>
      <c r="D67" s="44"/>
      <c r="E67" s="44"/>
      <c r="F67" s="44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3">
      <c r="A68" s="20"/>
      <c r="B68" s="43"/>
      <c r="C68" s="44"/>
      <c r="D68" s="44"/>
      <c r="E68" s="44"/>
      <c r="F68" s="44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3">
      <c r="A69" s="20"/>
      <c r="B69" s="43"/>
      <c r="C69" s="44"/>
      <c r="D69" s="44"/>
      <c r="E69" s="44"/>
      <c r="F69" s="44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3">
      <c r="A70" s="20"/>
      <c r="B70" s="43"/>
      <c r="C70" s="44"/>
      <c r="D70" s="44"/>
      <c r="E70" s="44"/>
      <c r="F70" s="44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3">
      <c r="A71" s="20"/>
      <c r="B71" s="43"/>
      <c r="C71" s="44"/>
      <c r="D71" s="44"/>
      <c r="E71" s="44"/>
      <c r="F71" s="44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3">
      <c r="A72" s="20"/>
      <c r="B72" s="43"/>
      <c r="C72" s="44"/>
      <c r="D72" s="44"/>
      <c r="E72" s="44"/>
      <c r="F72" s="44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3">
      <c r="A73" s="20"/>
      <c r="B73" s="43"/>
      <c r="C73" s="44"/>
      <c r="D73" s="44"/>
      <c r="E73" s="44"/>
      <c r="F73" s="44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3">
      <c r="A74" s="20"/>
      <c r="B74" s="43"/>
      <c r="C74" s="44"/>
      <c r="D74" s="44"/>
      <c r="E74" s="44"/>
      <c r="F74" s="44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3">
      <c r="A75" s="20"/>
      <c r="B75" s="43"/>
      <c r="C75" s="44"/>
      <c r="D75" s="44"/>
      <c r="E75" s="44"/>
      <c r="F75" s="44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3">
      <c r="A76" s="20"/>
      <c r="B76" s="43"/>
      <c r="C76" s="44"/>
      <c r="D76" s="44"/>
      <c r="E76" s="44"/>
      <c r="F76" s="44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3">
      <c r="A77" s="20"/>
      <c r="B77" s="43"/>
      <c r="C77" s="44"/>
      <c r="D77" s="44"/>
      <c r="E77" s="44"/>
      <c r="F77" s="44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3">
      <c r="A78" s="20"/>
      <c r="B78" s="43"/>
      <c r="C78" s="44"/>
      <c r="D78" s="44"/>
      <c r="E78" s="44"/>
      <c r="F78" s="44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3">
      <c r="A79" s="20"/>
      <c r="B79" s="43"/>
      <c r="C79" s="44"/>
      <c r="D79" s="44"/>
      <c r="E79" s="44"/>
      <c r="F79" s="44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3">
      <c r="A80" s="20"/>
      <c r="B80" s="43"/>
      <c r="C80" s="44"/>
      <c r="D80" s="44"/>
      <c r="E80" s="44"/>
      <c r="F80" s="44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3">
      <c r="A81" s="20"/>
      <c r="B81" s="43"/>
      <c r="C81" s="44"/>
      <c r="D81" s="44"/>
      <c r="E81" s="44"/>
      <c r="F81" s="44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3">
      <c r="A82" s="20"/>
      <c r="B82" s="43"/>
      <c r="C82" s="44"/>
      <c r="D82" s="44"/>
      <c r="E82" s="44"/>
      <c r="F82" s="44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3">
      <c r="A83" s="20"/>
      <c r="B83" s="43"/>
      <c r="C83" s="44"/>
      <c r="D83" s="44"/>
      <c r="E83" s="44"/>
      <c r="F83" s="44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3">
      <c r="A84" s="20"/>
      <c r="B84" s="43"/>
      <c r="C84" s="44"/>
      <c r="D84" s="44"/>
      <c r="E84" s="44"/>
      <c r="F84" s="44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3">
      <c r="A85" s="20"/>
      <c r="B85" s="43"/>
      <c r="C85" s="44"/>
      <c r="D85" s="44"/>
      <c r="E85" s="44"/>
      <c r="F85" s="44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3">
      <c r="A86" s="20"/>
      <c r="B86" s="43"/>
      <c r="C86" s="44"/>
      <c r="D86" s="44"/>
      <c r="E86" s="44"/>
      <c r="F86" s="44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3">
      <c r="A87" s="20"/>
      <c r="B87" s="43"/>
      <c r="C87" s="44"/>
      <c r="D87" s="44"/>
      <c r="E87" s="44"/>
      <c r="F87" s="44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3">
      <c r="A88" s="20"/>
      <c r="B88" s="43"/>
      <c r="C88" s="44"/>
      <c r="D88" s="44"/>
      <c r="E88" s="44"/>
      <c r="F88" s="44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3">
      <c r="A89" s="20"/>
      <c r="B89" s="43"/>
      <c r="C89" s="44"/>
      <c r="D89" s="44"/>
      <c r="E89" s="44"/>
      <c r="F89" s="44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3">
      <c r="A90" s="20"/>
      <c r="B90" s="43"/>
      <c r="C90" s="44"/>
      <c r="D90" s="44"/>
      <c r="E90" s="44"/>
      <c r="F90" s="4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3">
      <c r="A91" s="20"/>
      <c r="B91" s="43"/>
      <c r="C91" s="44"/>
      <c r="D91" s="44"/>
      <c r="E91" s="44"/>
      <c r="F91" s="44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3">
      <c r="A92" s="20"/>
      <c r="B92" s="43"/>
      <c r="C92" s="44"/>
      <c r="D92" s="44"/>
      <c r="E92" s="44"/>
      <c r="F92" s="4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3">
      <c r="A93" s="20"/>
      <c r="B93" s="43"/>
      <c r="C93" s="44"/>
      <c r="D93" s="44"/>
      <c r="E93" s="44"/>
      <c r="F93" s="44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3">
      <c r="A94" s="20"/>
      <c r="B94" s="43"/>
      <c r="C94" s="44"/>
      <c r="D94" s="44"/>
      <c r="E94" s="44"/>
      <c r="F94" s="44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3">
      <c r="A95" s="20"/>
      <c r="B95" s="43"/>
      <c r="C95" s="44"/>
      <c r="D95" s="44"/>
      <c r="E95" s="44"/>
      <c r="F95" s="44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3">
      <c r="A96" s="20"/>
      <c r="B96" s="43"/>
      <c r="C96" s="44"/>
      <c r="D96" s="44"/>
      <c r="E96" s="44"/>
      <c r="F96" s="44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3">
      <c r="A97" s="20"/>
      <c r="B97" s="43"/>
      <c r="C97" s="44"/>
      <c r="D97" s="44"/>
      <c r="E97" s="44"/>
      <c r="F97" s="44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3">
      <c r="A98" s="20"/>
      <c r="B98" s="43"/>
      <c r="C98" s="44"/>
      <c r="D98" s="44"/>
      <c r="E98" s="44"/>
      <c r="F98" s="4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3">
      <c r="A99" s="20"/>
      <c r="B99" s="43"/>
      <c r="C99" s="44"/>
      <c r="D99" s="44"/>
      <c r="E99" s="44"/>
      <c r="F99" s="44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3">
      <c r="A100" s="20"/>
      <c r="B100" s="43"/>
      <c r="C100" s="44"/>
      <c r="D100" s="44"/>
      <c r="E100" s="44"/>
      <c r="F100" s="4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3">
      <c r="A101" s="20"/>
      <c r="B101" s="43"/>
      <c r="C101" s="44"/>
      <c r="D101" s="44"/>
      <c r="E101" s="44"/>
      <c r="F101" s="44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3">
      <c r="A102" s="20"/>
      <c r="B102" s="43"/>
      <c r="C102" s="44"/>
      <c r="D102" s="44"/>
      <c r="E102" s="44"/>
      <c r="F102" s="4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3">
      <c r="A103" s="20"/>
      <c r="B103" s="43"/>
      <c r="C103" s="44"/>
      <c r="D103" s="44"/>
      <c r="E103" s="44"/>
      <c r="F103" s="44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3">
      <c r="A104" s="20"/>
      <c r="B104" s="43"/>
      <c r="C104" s="44"/>
      <c r="D104" s="44"/>
      <c r="E104" s="44"/>
      <c r="F104" s="44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3">
      <c r="A105" s="20"/>
      <c r="B105" s="43"/>
      <c r="C105" s="44"/>
      <c r="D105" s="44"/>
      <c r="E105" s="44"/>
      <c r="F105" s="44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3">
      <c r="A106" s="20"/>
      <c r="B106" s="43"/>
      <c r="C106" s="44"/>
      <c r="D106" s="44"/>
      <c r="E106" s="44"/>
      <c r="F106" s="44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3">
      <c r="A107" s="20"/>
      <c r="B107" s="43"/>
      <c r="C107" s="44"/>
      <c r="D107" s="44"/>
      <c r="E107" s="44"/>
      <c r="F107" s="44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3">
      <c r="A108" s="20"/>
      <c r="B108" s="43"/>
      <c r="C108" s="44"/>
      <c r="D108" s="44"/>
      <c r="E108" s="44"/>
      <c r="F108" s="44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3">
      <c r="A109" s="20"/>
      <c r="B109" s="43"/>
      <c r="C109" s="44"/>
      <c r="D109" s="44"/>
      <c r="E109" s="44"/>
      <c r="F109" s="44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3">
      <c r="A110" s="20"/>
      <c r="B110" s="43"/>
      <c r="C110" s="44"/>
      <c r="D110" s="44"/>
      <c r="E110" s="44"/>
      <c r="F110" s="44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3">
      <c r="A111" s="20"/>
      <c r="B111" s="43"/>
      <c r="C111" s="44"/>
      <c r="D111" s="44"/>
      <c r="E111" s="44"/>
      <c r="F111" s="44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3">
      <c r="A112" s="20"/>
      <c r="B112" s="43"/>
      <c r="C112" s="44"/>
      <c r="D112" s="44"/>
      <c r="E112" s="44"/>
      <c r="F112" s="44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3">
      <c r="A113" s="20"/>
      <c r="B113" s="43"/>
      <c r="C113" s="44"/>
      <c r="D113" s="44"/>
      <c r="E113" s="44"/>
      <c r="F113" s="44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3">
      <c r="A114" s="20"/>
      <c r="B114" s="43"/>
      <c r="C114" s="44"/>
      <c r="D114" s="44"/>
      <c r="E114" s="44"/>
      <c r="F114" s="44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3">
      <c r="A115" s="20"/>
      <c r="B115" s="43"/>
      <c r="C115" s="44"/>
      <c r="D115" s="44"/>
      <c r="E115" s="44"/>
      <c r="F115" s="44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3">
      <c r="A116" s="20"/>
      <c r="B116" s="43"/>
      <c r="C116" s="44"/>
      <c r="D116" s="44"/>
      <c r="E116" s="44"/>
      <c r="F116" s="44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3">
      <c r="A117" s="20"/>
      <c r="B117" s="43"/>
      <c r="C117" s="44"/>
      <c r="D117" s="44"/>
      <c r="E117" s="44"/>
      <c r="F117" s="44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3">
      <c r="A118" s="20"/>
      <c r="B118" s="43"/>
      <c r="C118" s="44"/>
      <c r="D118" s="44"/>
      <c r="E118" s="44"/>
      <c r="F118" s="44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3">
      <c r="A119" s="20"/>
      <c r="B119" s="43"/>
      <c r="C119" s="44"/>
      <c r="D119" s="44"/>
      <c r="E119" s="44"/>
      <c r="F119" s="44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3">
      <c r="A120" s="20"/>
      <c r="B120" s="43"/>
      <c r="C120" s="44"/>
      <c r="D120" s="44"/>
      <c r="E120" s="44"/>
      <c r="F120" s="44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3">
      <c r="A121" s="20"/>
      <c r="B121" s="43"/>
      <c r="C121" s="44"/>
      <c r="D121" s="44"/>
      <c r="E121" s="44"/>
      <c r="F121" s="44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3">
      <c r="A122" s="20"/>
      <c r="B122" s="43"/>
      <c r="C122" s="44"/>
      <c r="D122" s="44"/>
      <c r="E122" s="44"/>
      <c r="F122" s="44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3">
      <c r="A123" s="20"/>
      <c r="B123" s="43"/>
      <c r="C123" s="44"/>
      <c r="D123" s="44"/>
      <c r="E123" s="44"/>
      <c r="F123" s="44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3">
      <c r="A124" s="20"/>
      <c r="B124" s="43"/>
      <c r="C124" s="44"/>
      <c r="D124" s="44"/>
      <c r="E124" s="44"/>
      <c r="F124" s="44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3">
      <c r="A125" s="20"/>
      <c r="B125" s="43"/>
      <c r="C125" s="44"/>
      <c r="D125" s="44"/>
      <c r="E125" s="44"/>
      <c r="F125" s="44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3">
      <c r="A126" s="20"/>
      <c r="B126" s="43"/>
      <c r="C126" s="44"/>
      <c r="D126" s="44"/>
      <c r="E126" s="44"/>
      <c r="F126" s="44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3">
      <c r="A127" s="20"/>
      <c r="B127" s="43"/>
      <c r="C127" s="44"/>
      <c r="D127" s="44"/>
      <c r="E127" s="44"/>
      <c r="F127" s="44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3">
      <c r="A128" s="20"/>
      <c r="B128" s="43"/>
      <c r="C128" s="44"/>
      <c r="D128" s="44"/>
      <c r="E128" s="44"/>
      <c r="F128" s="44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3">
      <c r="A129" s="20"/>
      <c r="B129" s="43"/>
      <c r="C129" s="44"/>
      <c r="D129" s="44"/>
      <c r="E129" s="44"/>
      <c r="F129" s="44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3">
      <c r="A130" s="20"/>
      <c r="B130" s="43"/>
      <c r="C130" s="44"/>
      <c r="D130" s="44"/>
      <c r="E130" s="44"/>
      <c r="F130" s="44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3">
      <c r="A131" s="20"/>
      <c r="B131" s="43"/>
      <c r="C131" s="44"/>
      <c r="D131" s="44"/>
      <c r="E131" s="44"/>
      <c r="F131" s="44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3">
      <c r="A132" s="20"/>
      <c r="B132" s="43"/>
      <c r="C132" s="44"/>
      <c r="D132" s="44"/>
      <c r="E132" s="44"/>
      <c r="F132" s="44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3">
      <c r="A133" s="20"/>
      <c r="B133" s="43"/>
      <c r="C133" s="44"/>
      <c r="D133" s="44"/>
      <c r="E133" s="44"/>
      <c r="F133" s="44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3">
      <c r="A134" s="20"/>
      <c r="B134" s="43"/>
      <c r="C134" s="44"/>
      <c r="D134" s="44"/>
      <c r="E134" s="44"/>
      <c r="F134" s="44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3">
      <c r="A135" s="20"/>
      <c r="B135" s="43"/>
      <c r="C135" s="44"/>
      <c r="D135" s="44"/>
      <c r="E135" s="44"/>
      <c r="F135" s="44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3">
      <c r="A136" s="20"/>
      <c r="B136" s="43"/>
      <c r="C136" s="44"/>
      <c r="D136" s="44"/>
      <c r="E136" s="44"/>
      <c r="F136" s="44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3">
      <c r="A137" s="20"/>
      <c r="B137" s="43"/>
      <c r="C137" s="44"/>
      <c r="D137" s="44"/>
      <c r="E137" s="44"/>
      <c r="F137" s="44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3">
      <c r="A138" s="20"/>
      <c r="B138" s="43"/>
      <c r="C138" s="44"/>
      <c r="D138" s="44"/>
      <c r="E138" s="44"/>
      <c r="F138" s="44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3">
      <c r="A139" s="20"/>
      <c r="B139" s="43"/>
      <c r="C139" s="44"/>
      <c r="D139" s="44"/>
      <c r="E139" s="44"/>
      <c r="F139" s="44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3">
      <c r="A140" s="20"/>
      <c r="B140" s="43"/>
      <c r="C140" s="44"/>
      <c r="D140" s="44"/>
      <c r="E140" s="44"/>
      <c r="F140" s="44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3">
      <c r="A141" s="20"/>
      <c r="B141" s="43"/>
      <c r="C141" s="44"/>
      <c r="D141" s="44"/>
      <c r="E141" s="44"/>
      <c r="F141" s="44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3">
      <c r="A142" s="20"/>
      <c r="B142" s="43"/>
      <c r="C142" s="44"/>
      <c r="D142" s="44"/>
      <c r="E142" s="44"/>
      <c r="F142" s="44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3">
      <c r="A143" s="20"/>
      <c r="B143" s="43"/>
      <c r="C143" s="44"/>
      <c r="D143" s="44"/>
      <c r="E143" s="44"/>
      <c r="F143" s="44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3">
      <c r="A144" s="20"/>
      <c r="B144" s="43"/>
      <c r="C144" s="44"/>
      <c r="D144" s="44"/>
      <c r="E144" s="44"/>
      <c r="F144" s="44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3">
      <c r="A145" s="20"/>
      <c r="B145" s="43"/>
      <c r="C145" s="44"/>
      <c r="D145" s="44"/>
      <c r="E145" s="44"/>
      <c r="F145" s="44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3">
      <c r="A146" s="20"/>
      <c r="B146" s="43"/>
      <c r="C146" s="44"/>
      <c r="D146" s="44"/>
      <c r="E146" s="44"/>
      <c r="F146" s="44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3">
      <c r="A147" s="20"/>
      <c r="B147" s="43"/>
      <c r="C147" s="44"/>
      <c r="D147" s="44"/>
      <c r="E147" s="44"/>
      <c r="F147" s="44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3">
      <c r="A148" s="20"/>
      <c r="B148" s="43"/>
      <c r="C148" s="44"/>
      <c r="D148" s="44"/>
      <c r="E148" s="44"/>
      <c r="F148" s="44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3">
      <c r="A149" s="20"/>
      <c r="B149" s="43"/>
      <c r="C149" s="44"/>
      <c r="D149" s="44"/>
      <c r="E149" s="44"/>
      <c r="F149" s="44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3">
      <c r="A150" s="20"/>
      <c r="B150" s="43"/>
      <c r="C150" s="44"/>
      <c r="D150" s="44"/>
      <c r="E150" s="44"/>
      <c r="F150" s="44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3">
      <c r="A151" s="20"/>
      <c r="B151" s="43"/>
      <c r="C151" s="44"/>
      <c r="D151" s="44"/>
      <c r="E151" s="44"/>
      <c r="F151" s="44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3">
      <c r="A152" s="20"/>
      <c r="B152" s="43"/>
      <c r="C152" s="44"/>
      <c r="D152" s="44"/>
      <c r="E152" s="44"/>
      <c r="F152" s="44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3">
      <c r="A153" s="20"/>
      <c r="B153" s="43"/>
      <c r="C153" s="44"/>
      <c r="D153" s="44"/>
      <c r="E153" s="44"/>
      <c r="F153" s="44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3">
      <c r="A154" s="20"/>
      <c r="B154" s="43"/>
      <c r="C154" s="44"/>
      <c r="D154" s="44"/>
      <c r="E154" s="44"/>
      <c r="F154" s="44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3">
      <c r="A155" s="20"/>
      <c r="B155" s="43"/>
      <c r="C155" s="44"/>
      <c r="D155" s="44"/>
      <c r="E155" s="44"/>
      <c r="F155" s="44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3">
      <c r="A156" s="20"/>
      <c r="B156" s="43"/>
      <c r="C156" s="44"/>
      <c r="D156" s="44"/>
      <c r="E156" s="44"/>
      <c r="F156" s="44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3">
      <c r="A157" s="20"/>
      <c r="B157" s="43"/>
      <c r="C157" s="44"/>
      <c r="D157" s="44"/>
      <c r="E157" s="44"/>
      <c r="F157" s="44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3">
      <c r="A158" s="20"/>
      <c r="B158" s="43"/>
      <c r="C158" s="44"/>
      <c r="D158" s="44"/>
      <c r="E158" s="44"/>
      <c r="F158" s="44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3">
      <c r="A159" s="20"/>
      <c r="B159" s="43"/>
      <c r="C159" s="44"/>
      <c r="D159" s="44"/>
      <c r="E159" s="44"/>
      <c r="F159" s="44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3">
      <c r="A160" s="20"/>
      <c r="B160" s="43"/>
      <c r="C160" s="44"/>
      <c r="D160" s="44"/>
      <c r="E160" s="44"/>
      <c r="F160" s="44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3">
      <c r="A161" s="20"/>
      <c r="B161" s="43"/>
      <c r="C161" s="44"/>
      <c r="D161" s="44"/>
      <c r="E161" s="44"/>
      <c r="F161" s="44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3">
      <c r="A162" s="20"/>
      <c r="B162" s="43"/>
      <c r="C162" s="44"/>
      <c r="D162" s="44"/>
      <c r="E162" s="44"/>
      <c r="F162" s="44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3">
      <c r="A163" s="20"/>
      <c r="B163" s="43"/>
      <c r="C163" s="44"/>
      <c r="D163" s="44"/>
      <c r="E163" s="44"/>
      <c r="F163" s="44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3">
      <c r="A164" s="20"/>
      <c r="B164" s="43"/>
      <c r="C164" s="44"/>
      <c r="D164" s="44"/>
      <c r="E164" s="44"/>
      <c r="F164" s="44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3">
      <c r="A165" s="20"/>
      <c r="B165" s="43"/>
      <c r="C165" s="44"/>
      <c r="D165" s="44"/>
      <c r="E165" s="44"/>
      <c r="F165" s="44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3">
      <c r="A166" s="20"/>
      <c r="B166" s="43"/>
      <c r="C166" s="44"/>
      <c r="D166" s="44"/>
      <c r="E166" s="44"/>
      <c r="F166" s="44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3">
      <c r="A167" s="20"/>
      <c r="B167" s="43"/>
      <c r="C167" s="44"/>
      <c r="D167" s="44"/>
      <c r="E167" s="44"/>
      <c r="F167" s="44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3">
      <c r="A168" s="20"/>
      <c r="B168" s="43"/>
      <c r="C168" s="44"/>
      <c r="D168" s="44"/>
      <c r="E168" s="44"/>
      <c r="F168" s="44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3">
      <c r="A169" s="20"/>
      <c r="B169" s="43"/>
      <c r="C169" s="44"/>
      <c r="D169" s="44"/>
      <c r="E169" s="44"/>
      <c r="F169" s="44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3">
      <c r="A170" s="20"/>
      <c r="B170" s="43"/>
      <c r="C170" s="44"/>
      <c r="D170" s="44"/>
      <c r="E170" s="44"/>
      <c r="F170" s="44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3">
      <c r="A171" s="20"/>
      <c r="B171" s="43"/>
      <c r="C171" s="44"/>
      <c r="D171" s="44"/>
      <c r="E171" s="44"/>
      <c r="F171" s="44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3">
      <c r="A172" s="20"/>
      <c r="B172" s="43"/>
      <c r="C172" s="44"/>
      <c r="D172" s="44"/>
      <c r="E172" s="44"/>
      <c r="F172" s="44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3">
      <c r="A173" s="20"/>
      <c r="B173" s="43"/>
      <c r="C173" s="44"/>
      <c r="D173" s="44"/>
      <c r="E173" s="44"/>
      <c r="F173" s="44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3">
      <c r="A174" s="20"/>
      <c r="B174" s="43"/>
      <c r="C174" s="44"/>
      <c r="D174" s="44"/>
      <c r="E174" s="44"/>
      <c r="F174" s="44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3">
      <c r="A175" s="20"/>
      <c r="B175" s="43"/>
      <c r="C175" s="44"/>
      <c r="D175" s="44"/>
      <c r="E175" s="44"/>
      <c r="F175" s="44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3">
      <c r="A176" s="20"/>
      <c r="B176" s="43"/>
      <c r="C176" s="44"/>
      <c r="D176" s="44"/>
      <c r="E176" s="44"/>
      <c r="F176" s="44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3">
      <c r="A177" s="20"/>
      <c r="B177" s="43"/>
      <c r="C177" s="44"/>
      <c r="D177" s="44"/>
      <c r="E177" s="44"/>
      <c r="F177" s="44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3">
      <c r="A178" s="20"/>
      <c r="B178" s="43"/>
      <c r="C178" s="44"/>
      <c r="D178" s="44"/>
      <c r="E178" s="44"/>
      <c r="F178" s="44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3">
      <c r="A179" s="20"/>
      <c r="B179" s="43"/>
      <c r="C179" s="44"/>
      <c r="D179" s="44"/>
      <c r="E179" s="44"/>
      <c r="F179" s="44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3">
      <c r="A180" s="20"/>
      <c r="B180" s="43"/>
      <c r="C180" s="44"/>
      <c r="D180" s="44"/>
      <c r="E180" s="44"/>
      <c r="F180" s="44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3">
      <c r="A181" s="20"/>
      <c r="B181" s="43"/>
      <c r="C181" s="44"/>
      <c r="D181" s="44"/>
      <c r="E181" s="44"/>
      <c r="F181" s="44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3">
      <c r="A182" s="20"/>
      <c r="B182" s="43"/>
      <c r="C182" s="44"/>
      <c r="D182" s="44"/>
      <c r="E182" s="44"/>
      <c r="F182" s="44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3">
      <c r="A183" s="20"/>
      <c r="B183" s="43"/>
      <c r="C183" s="44"/>
      <c r="D183" s="44"/>
      <c r="E183" s="44"/>
      <c r="F183" s="44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3">
      <c r="A184" s="20"/>
      <c r="B184" s="43"/>
      <c r="C184" s="44"/>
      <c r="D184" s="44"/>
      <c r="E184" s="44"/>
      <c r="F184" s="44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3">
      <c r="A185" s="20"/>
      <c r="B185" s="43"/>
      <c r="C185" s="44"/>
      <c r="D185" s="44"/>
      <c r="E185" s="44"/>
      <c r="F185" s="44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3">
      <c r="A186" s="20"/>
      <c r="B186" s="43"/>
      <c r="C186" s="44"/>
      <c r="D186" s="44"/>
      <c r="E186" s="44"/>
      <c r="F186" s="44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3">
      <c r="A187" s="20"/>
      <c r="B187" s="43"/>
      <c r="C187" s="44"/>
      <c r="D187" s="44"/>
      <c r="E187" s="44"/>
      <c r="F187" s="44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3">
      <c r="A188" s="20"/>
      <c r="B188" s="43"/>
      <c r="C188" s="44"/>
      <c r="D188" s="44"/>
      <c r="E188" s="44"/>
      <c r="F188" s="44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3">
      <c r="A189" s="20"/>
      <c r="B189" s="43"/>
      <c r="C189" s="44"/>
      <c r="D189" s="44"/>
      <c r="E189" s="44"/>
      <c r="F189" s="44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3">
      <c r="A190" s="20"/>
      <c r="B190" s="43"/>
      <c r="C190" s="44"/>
      <c r="D190" s="44"/>
      <c r="E190" s="44"/>
      <c r="F190" s="44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3">
      <c r="A191" s="20"/>
      <c r="B191" s="43"/>
      <c r="C191" s="44"/>
      <c r="D191" s="44"/>
      <c r="E191" s="44"/>
      <c r="F191" s="44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3">
      <c r="A192" s="20"/>
      <c r="B192" s="43"/>
      <c r="C192" s="44"/>
      <c r="D192" s="44"/>
      <c r="E192" s="44"/>
      <c r="F192" s="44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3">
      <c r="A193" s="20"/>
      <c r="B193" s="43"/>
      <c r="C193" s="44"/>
      <c r="D193" s="44"/>
      <c r="E193" s="44"/>
      <c r="F193" s="44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3">
      <c r="A194" s="20"/>
      <c r="B194" s="43"/>
      <c r="C194" s="44"/>
      <c r="D194" s="44"/>
      <c r="E194" s="44"/>
      <c r="F194" s="44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3">
      <c r="A195" s="20"/>
      <c r="B195" s="43"/>
      <c r="C195" s="44"/>
      <c r="D195" s="44"/>
      <c r="E195" s="44"/>
      <c r="F195" s="44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3">
      <c r="A196" s="20"/>
      <c r="B196" s="43"/>
      <c r="C196" s="44"/>
      <c r="D196" s="44"/>
      <c r="E196" s="44"/>
      <c r="F196" s="44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3">
      <c r="A197" s="20"/>
      <c r="B197" s="43"/>
      <c r="C197" s="44"/>
      <c r="D197" s="44"/>
      <c r="E197" s="44"/>
      <c r="F197" s="44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3">
      <c r="A198" s="20"/>
      <c r="B198" s="43"/>
      <c r="C198" s="44"/>
      <c r="D198" s="44"/>
      <c r="E198" s="44"/>
      <c r="F198" s="44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3">
      <c r="A199" s="20"/>
      <c r="B199" s="43"/>
      <c r="C199" s="44"/>
      <c r="D199" s="44"/>
      <c r="E199" s="44"/>
      <c r="F199" s="44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3">
      <c r="A200" s="20"/>
      <c r="B200" s="43"/>
      <c r="C200" s="44"/>
      <c r="D200" s="44"/>
      <c r="E200" s="44"/>
      <c r="F200" s="44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3">
      <c r="A201" s="20"/>
      <c r="B201" s="43"/>
      <c r="C201" s="44"/>
      <c r="D201" s="44"/>
      <c r="E201" s="44"/>
      <c r="F201" s="44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3">
      <c r="A202" s="20"/>
      <c r="B202" s="43"/>
      <c r="C202" s="44"/>
      <c r="D202" s="44"/>
      <c r="E202" s="44"/>
      <c r="F202" s="44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3">
      <c r="A203" s="20"/>
      <c r="B203" s="43"/>
      <c r="C203" s="44"/>
      <c r="D203" s="44"/>
      <c r="E203" s="44"/>
      <c r="F203" s="44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3">
      <c r="A204" s="20"/>
      <c r="B204" s="43"/>
      <c r="C204" s="44"/>
      <c r="D204" s="44"/>
      <c r="E204" s="44"/>
      <c r="F204" s="44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3">
      <c r="A205" s="20"/>
      <c r="B205" s="43"/>
      <c r="C205" s="44"/>
      <c r="D205" s="44"/>
      <c r="E205" s="44"/>
      <c r="F205" s="44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3">
      <c r="A206" s="20"/>
      <c r="B206" s="43"/>
      <c r="C206" s="44"/>
      <c r="D206" s="44"/>
      <c r="E206" s="44"/>
      <c r="F206" s="44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3">
      <c r="A207" s="20"/>
      <c r="B207" s="43"/>
      <c r="C207" s="44"/>
      <c r="D207" s="44"/>
      <c r="E207" s="44"/>
      <c r="F207" s="44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3">
      <c r="A208" s="20"/>
      <c r="B208" s="43"/>
      <c r="C208" s="44"/>
      <c r="D208" s="44"/>
      <c r="E208" s="44"/>
      <c r="F208" s="44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3">
      <c r="A209" s="20"/>
      <c r="B209" s="43"/>
      <c r="C209" s="44"/>
      <c r="D209" s="44"/>
      <c r="E209" s="44"/>
      <c r="F209" s="44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3">
      <c r="A210" s="20"/>
      <c r="B210" s="43"/>
      <c r="C210" s="44"/>
      <c r="D210" s="44"/>
      <c r="E210" s="44"/>
      <c r="F210" s="44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3">
      <c r="A211" s="20"/>
      <c r="B211" s="43"/>
      <c r="C211" s="44"/>
      <c r="D211" s="44"/>
      <c r="E211" s="44"/>
      <c r="F211" s="44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3">
      <c r="A212" s="20"/>
      <c r="B212" s="43"/>
      <c r="C212" s="44"/>
      <c r="D212" s="44"/>
      <c r="E212" s="44"/>
      <c r="F212" s="44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3">
      <c r="A213" s="20"/>
      <c r="B213" s="43"/>
      <c r="C213" s="44"/>
      <c r="D213" s="44"/>
      <c r="E213" s="44"/>
      <c r="F213" s="44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3">
      <c r="A214" s="20"/>
      <c r="B214" s="43"/>
      <c r="C214" s="44"/>
      <c r="D214" s="44"/>
      <c r="E214" s="44"/>
      <c r="F214" s="44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3">
      <c r="A215" s="20"/>
      <c r="B215" s="43"/>
      <c r="C215" s="44"/>
      <c r="D215" s="44"/>
      <c r="E215" s="44"/>
      <c r="F215" s="44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3">
      <c r="A216" s="20"/>
      <c r="B216" s="43"/>
      <c r="C216" s="44"/>
      <c r="D216" s="44"/>
      <c r="E216" s="44"/>
      <c r="F216" s="44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3">
      <c r="A217" s="20"/>
      <c r="B217" s="43"/>
      <c r="C217" s="44"/>
      <c r="D217" s="44"/>
      <c r="E217" s="44"/>
      <c r="F217" s="44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3">
      <c r="A218" s="20"/>
      <c r="B218" s="43"/>
      <c r="C218" s="44"/>
      <c r="D218" s="44"/>
      <c r="E218" s="44"/>
      <c r="F218" s="44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3">
      <c r="A219" s="20"/>
      <c r="B219" s="43"/>
      <c r="C219" s="44"/>
      <c r="D219" s="44"/>
      <c r="E219" s="44"/>
      <c r="F219" s="44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3">
      <c r="A220" s="20"/>
      <c r="B220" s="43"/>
      <c r="C220" s="44"/>
      <c r="D220" s="44"/>
      <c r="E220" s="44"/>
      <c r="F220" s="44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3">
      <c r="A221" s="20"/>
      <c r="B221" s="43"/>
      <c r="C221" s="44"/>
      <c r="D221" s="44"/>
      <c r="E221" s="44"/>
      <c r="F221" s="44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3">
      <c r="A222" s="20"/>
      <c r="B222" s="43"/>
      <c r="C222" s="44"/>
      <c r="D222" s="44"/>
      <c r="E222" s="44"/>
      <c r="F222" s="44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3">
      <c r="A223" s="20"/>
      <c r="B223" s="43"/>
      <c r="C223" s="44"/>
      <c r="D223" s="44"/>
      <c r="E223" s="44"/>
      <c r="F223" s="44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3">
      <c r="A224" s="20"/>
      <c r="B224" s="43"/>
      <c r="C224" s="44"/>
      <c r="D224" s="44"/>
      <c r="E224" s="44"/>
      <c r="F224" s="44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3">
      <c r="A225" s="20"/>
      <c r="B225" s="43"/>
      <c r="C225" s="44"/>
      <c r="D225" s="44"/>
      <c r="E225" s="44"/>
      <c r="F225" s="44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3">
      <c r="A226" s="20"/>
      <c r="B226" s="43"/>
      <c r="C226" s="44"/>
      <c r="D226" s="44"/>
      <c r="E226" s="44"/>
      <c r="F226" s="44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3">
      <c r="A227" s="20"/>
      <c r="B227" s="43"/>
      <c r="C227" s="44"/>
      <c r="D227" s="44"/>
      <c r="E227" s="44"/>
      <c r="F227" s="44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3">
      <c r="A228" s="20"/>
      <c r="B228" s="43"/>
      <c r="C228" s="44"/>
      <c r="D228" s="44"/>
      <c r="E228" s="44"/>
      <c r="F228" s="44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3">
      <c r="A229" s="20"/>
      <c r="B229" s="43"/>
      <c r="C229" s="44"/>
      <c r="D229" s="44"/>
      <c r="E229" s="44"/>
      <c r="F229" s="44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3">
      <c r="A230" s="20"/>
      <c r="B230" s="43"/>
      <c r="C230" s="44"/>
      <c r="D230" s="44"/>
      <c r="E230" s="44"/>
      <c r="F230" s="44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3">
      <c r="A231" s="20"/>
      <c r="B231" s="43"/>
      <c r="C231" s="44"/>
      <c r="D231" s="44"/>
      <c r="E231" s="44"/>
      <c r="F231" s="44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3">
      <c r="A232" s="20"/>
      <c r="B232" s="43"/>
      <c r="C232" s="44"/>
      <c r="D232" s="44"/>
      <c r="E232" s="44"/>
      <c r="F232" s="44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3">
      <c r="A233" s="20"/>
      <c r="B233" s="43"/>
      <c r="C233" s="44"/>
      <c r="D233" s="44"/>
      <c r="E233" s="44"/>
      <c r="F233" s="44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3">
      <c r="A234" s="20"/>
      <c r="B234" s="43"/>
      <c r="C234" s="44"/>
      <c r="D234" s="44"/>
      <c r="E234" s="44"/>
      <c r="F234" s="44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3">
      <c r="A235" s="20"/>
      <c r="B235" s="43"/>
      <c r="C235" s="44"/>
      <c r="D235" s="44"/>
      <c r="E235" s="44"/>
      <c r="F235" s="44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3">
      <c r="A236" s="20"/>
      <c r="B236" s="43"/>
      <c r="C236" s="44"/>
      <c r="D236" s="44"/>
      <c r="E236" s="44"/>
      <c r="F236" s="44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3">
      <c r="A237" s="20"/>
      <c r="B237" s="43"/>
      <c r="C237" s="44"/>
      <c r="D237" s="44"/>
      <c r="E237" s="44"/>
      <c r="F237" s="44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3">
      <c r="A238" s="20"/>
      <c r="B238" s="43"/>
      <c r="C238" s="44"/>
      <c r="D238" s="44"/>
      <c r="E238" s="44"/>
      <c r="F238" s="44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3">
      <c r="A239" s="20"/>
      <c r="B239" s="43"/>
      <c r="C239" s="44"/>
      <c r="D239" s="44"/>
      <c r="E239" s="44"/>
      <c r="F239" s="44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3">
      <c r="A240" s="20"/>
      <c r="B240" s="43"/>
      <c r="C240" s="44"/>
      <c r="D240" s="44"/>
      <c r="E240" s="44"/>
      <c r="F240" s="44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3">
      <c r="A241" s="20"/>
      <c r="B241" s="43"/>
      <c r="C241" s="44"/>
      <c r="D241" s="44"/>
      <c r="E241" s="44"/>
      <c r="F241" s="44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3">
      <c r="A242" s="20"/>
      <c r="B242" s="43"/>
      <c r="C242" s="44"/>
      <c r="D242" s="44"/>
      <c r="E242" s="44"/>
      <c r="F242" s="44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3">
      <c r="A243" s="20"/>
      <c r="B243" s="43"/>
      <c r="C243" s="44"/>
      <c r="D243" s="44"/>
      <c r="E243" s="44"/>
      <c r="F243" s="44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3">
      <c r="A244" s="20"/>
      <c r="B244" s="43"/>
      <c r="C244" s="44"/>
      <c r="D244" s="44"/>
      <c r="E244" s="44"/>
      <c r="F244" s="44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3">
      <c r="A245" s="20"/>
      <c r="B245" s="43"/>
      <c r="C245" s="44"/>
      <c r="D245" s="44"/>
      <c r="E245" s="44"/>
      <c r="F245" s="44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3">
      <c r="A246" s="20"/>
      <c r="B246" s="43"/>
      <c r="C246" s="44"/>
      <c r="D246" s="44"/>
      <c r="E246" s="44"/>
      <c r="F246" s="44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3">
      <c r="A247" s="20"/>
      <c r="B247" s="43"/>
      <c r="C247" s="44"/>
      <c r="D247" s="44"/>
      <c r="E247" s="44"/>
      <c r="F247" s="44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3">
      <c r="A248" s="20"/>
      <c r="B248" s="43"/>
      <c r="C248" s="44"/>
      <c r="D248" s="44"/>
      <c r="E248" s="44"/>
      <c r="F248" s="44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3">
      <c r="A249" s="20"/>
      <c r="B249" s="43"/>
      <c r="C249" s="44"/>
      <c r="D249" s="44"/>
      <c r="E249" s="44"/>
      <c r="F249" s="44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3">
      <c r="A250" s="20"/>
      <c r="B250" s="43"/>
      <c r="C250" s="44"/>
      <c r="D250" s="44"/>
      <c r="E250" s="44"/>
      <c r="F250" s="44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3">
      <c r="A251" s="20"/>
      <c r="B251" s="43"/>
      <c r="C251" s="44"/>
      <c r="D251" s="44"/>
      <c r="E251" s="44"/>
      <c r="F251" s="44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3">
      <c r="A252" s="20"/>
      <c r="B252" s="43"/>
      <c r="C252" s="44"/>
      <c r="D252" s="44"/>
      <c r="E252" s="44"/>
      <c r="F252" s="44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3">
      <c r="A253" s="20"/>
      <c r="B253" s="43"/>
      <c r="C253" s="44"/>
      <c r="D253" s="44"/>
      <c r="E253" s="44"/>
      <c r="F253" s="44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3">
      <c r="A254" s="20"/>
      <c r="B254" s="43"/>
      <c r="C254" s="44"/>
      <c r="D254" s="44"/>
      <c r="E254" s="44"/>
      <c r="F254" s="44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3">
      <c r="A255" s="20"/>
      <c r="B255" s="43"/>
      <c r="C255" s="44"/>
      <c r="D255" s="44"/>
      <c r="E255" s="44"/>
      <c r="F255" s="44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3">
      <c r="A256" s="20"/>
      <c r="B256" s="43"/>
      <c r="C256" s="44"/>
      <c r="D256" s="44"/>
      <c r="E256" s="44"/>
      <c r="F256" s="44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3">
      <c r="A257" s="20"/>
      <c r="B257" s="43"/>
      <c r="C257" s="44"/>
      <c r="D257" s="44"/>
      <c r="E257" s="44"/>
      <c r="F257" s="44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3">
      <c r="A258" s="20"/>
      <c r="B258" s="43"/>
      <c r="C258" s="44"/>
      <c r="D258" s="44"/>
      <c r="E258" s="44"/>
      <c r="F258" s="44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3">
      <c r="A259" s="20"/>
      <c r="B259" s="43"/>
      <c r="C259" s="44"/>
      <c r="D259" s="44"/>
      <c r="E259" s="44"/>
      <c r="F259" s="44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3">
      <c r="A260" s="20"/>
      <c r="B260" s="43"/>
      <c r="C260" s="44"/>
      <c r="D260" s="44"/>
      <c r="E260" s="44"/>
      <c r="F260" s="44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3">
      <c r="A261" s="20"/>
      <c r="B261" s="43"/>
      <c r="C261" s="44"/>
      <c r="D261" s="44"/>
      <c r="E261" s="44"/>
      <c r="F261" s="44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3">
      <c r="A262" s="20"/>
      <c r="B262" s="43"/>
      <c r="C262" s="44"/>
      <c r="D262" s="44"/>
      <c r="E262" s="44"/>
      <c r="F262" s="44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3">
      <c r="A263" s="20"/>
      <c r="B263" s="43"/>
      <c r="C263" s="44"/>
      <c r="D263" s="44"/>
      <c r="E263" s="44"/>
      <c r="F263" s="44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3">
      <c r="A264" s="20"/>
      <c r="B264" s="43"/>
      <c r="C264" s="44"/>
      <c r="D264" s="44"/>
      <c r="E264" s="44"/>
      <c r="F264" s="44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3">
      <c r="A265" s="20"/>
      <c r="B265" s="43"/>
      <c r="C265" s="44"/>
      <c r="D265" s="44"/>
      <c r="E265" s="44"/>
      <c r="F265" s="44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3">
      <c r="A266" s="20"/>
      <c r="B266" s="43"/>
      <c r="C266" s="44"/>
      <c r="D266" s="44"/>
      <c r="E266" s="44"/>
      <c r="F266" s="44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3">
      <c r="A267" s="20"/>
      <c r="B267" s="43"/>
      <c r="C267" s="44"/>
      <c r="D267" s="44"/>
      <c r="E267" s="44"/>
      <c r="F267" s="44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3">
      <c r="A268" s="20"/>
      <c r="B268" s="43"/>
      <c r="C268" s="44"/>
      <c r="D268" s="44"/>
      <c r="E268" s="44"/>
      <c r="F268" s="44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3">
      <c r="A269" s="20"/>
      <c r="B269" s="43"/>
      <c r="C269" s="44"/>
      <c r="D269" s="44"/>
      <c r="E269" s="44"/>
      <c r="F269" s="44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3">
      <c r="A270" s="20"/>
      <c r="B270" s="43"/>
      <c r="C270" s="44"/>
      <c r="D270" s="44"/>
      <c r="E270" s="44"/>
      <c r="F270" s="44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3">
      <c r="A271" s="20"/>
      <c r="B271" s="43"/>
      <c r="C271" s="44"/>
      <c r="D271" s="44"/>
      <c r="E271" s="44"/>
      <c r="F271" s="44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3">
      <c r="A272" s="20"/>
      <c r="B272" s="43"/>
      <c r="C272" s="44"/>
      <c r="D272" s="44"/>
      <c r="E272" s="44"/>
      <c r="F272" s="44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3">
      <c r="A273" s="20"/>
      <c r="B273" s="43"/>
      <c r="C273" s="44"/>
      <c r="D273" s="44"/>
      <c r="E273" s="44"/>
      <c r="F273" s="44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3">
      <c r="A274" s="20"/>
      <c r="B274" s="43"/>
      <c r="C274" s="44"/>
      <c r="D274" s="44"/>
      <c r="E274" s="44"/>
      <c r="F274" s="44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3">
      <c r="A275" s="20"/>
      <c r="B275" s="43"/>
      <c r="C275" s="44"/>
      <c r="D275" s="44"/>
      <c r="E275" s="44"/>
      <c r="F275" s="44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3">
      <c r="A276" s="20"/>
      <c r="B276" s="43"/>
      <c r="C276" s="44"/>
      <c r="D276" s="44"/>
      <c r="E276" s="44"/>
      <c r="F276" s="44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3">
      <c r="A277" s="20"/>
      <c r="B277" s="43"/>
      <c r="C277" s="44"/>
      <c r="D277" s="44"/>
      <c r="E277" s="44"/>
      <c r="F277" s="44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3">
      <c r="A278" s="20"/>
      <c r="B278" s="43"/>
      <c r="C278" s="44"/>
      <c r="D278" s="44"/>
      <c r="E278" s="44"/>
      <c r="F278" s="44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3">
      <c r="A279" s="20"/>
      <c r="B279" s="43"/>
      <c r="C279" s="44"/>
      <c r="D279" s="44"/>
      <c r="E279" s="44"/>
      <c r="F279" s="44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3">
      <c r="A280" s="20"/>
      <c r="B280" s="43"/>
      <c r="C280" s="44"/>
      <c r="D280" s="44"/>
      <c r="E280" s="44"/>
      <c r="F280" s="44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3">
      <c r="A281" s="20"/>
      <c r="B281" s="43"/>
      <c r="C281" s="44"/>
      <c r="D281" s="44"/>
      <c r="E281" s="44"/>
      <c r="F281" s="44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3">
      <c r="A282" s="20"/>
      <c r="B282" s="43"/>
      <c r="C282" s="44"/>
      <c r="D282" s="44"/>
      <c r="E282" s="44"/>
      <c r="F282" s="44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3">
      <c r="A283" s="20"/>
      <c r="B283" s="43"/>
      <c r="C283" s="44"/>
      <c r="D283" s="44"/>
      <c r="E283" s="44"/>
      <c r="F283" s="44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3">
      <c r="A284" s="20"/>
      <c r="B284" s="43"/>
      <c r="C284" s="44"/>
      <c r="D284" s="44"/>
      <c r="E284" s="44"/>
      <c r="F284" s="44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3">
      <c r="A285" s="20"/>
      <c r="B285" s="43"/>
      <c r="C285" s="44"/>
      <c r="D285" s="44"/>
      <c r="E285" s="44"/>
      <c r="F285" s="44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3">
      <c r="A286" s="20"/>
      <c r="B286" s="43"/>
      <c r="C286" s="44"/>
      <c r="D286" s="44"/>
      <c r="E286" s="44"/>
      <c r="F286" s="44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3">
      <c r="A287" s="20"/>
      <c r="B287" s="43"/>
      <c r="C287" s="44"/>
      <c r="D287" s="44"/>
      <c r="E287" s="44"/>
      <c r="F287" s="44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3">
      <c r="A288" s="20"/>
      <c r="B288" s="43"/>
      <c r="C288" s="44"/>
      <c r="D288" s="44"/>
      <c r="E288" s="44"/>
      <c r="F288" s="44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3">
      <c r="A289" s="20"/>
      <c r="B289" s="43"/>
      <c r="C289" s="44"/>
      <c r="D289" s="44"/>
      <c r="E289" s="44"/>
      <c r="F289" s="44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3">
      <c r="A290" s="20"/>
      <c r="B290" s="43"/>
      <c r="C290" s="44"/>
      <c r="D290" s="44"/>
      <c r="E290" s="44"/>
      <c r="F290" s="44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3">
      <c r="A291" s="20"/>
      <c r="B291" s="43"/>
      <c r="C291" s="44"/>
      <c r="D291" s="44"/>
      <c r="E291" s="44"/>
      <c r="F291" s="44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3">
      <c r="A292" s="20"/>
      <c r="B292" s="43"/>
      <c r="C292" s="44"/>
      <c r="D292" s="44"/>
      <c r="E292" s="44"/>
      <c r="F292" s="44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3">
      <c r="A293" s="20"/>
      <c r="B293" s="43"/>
      <c r="C293" s="44"/>
      <c r="D293" s="44"/>
      <c r="E293" s="44"/>
      <c r="F293" s="44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3">
      <c r="A294" s="20"/>
      <c r="B294" s="43"/>
      <c r="C294" s="44"/>
      <c r="D294" s="44"/>
      <c r="E294" s="44"/>
      <c r="F294" s="44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3">
      <c r="A295" s="20"/>
      <c r="B295" s="43"/>
      <c r="C295" s="44"/>
      <c r="D295" s="44"/>
      <c r="E295" s="44"/>
      <c r="F295" s="44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3">
      <c r="A296" s="20"/>
      <c r="B296" s="43"/>
      <c r="C296" s="44"/>
      <c r="D296" s="44"/>
      <c r="E296" s="44"/>
      <c r="F296" s="44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3">
      <c r="A297" s="20"/>
      <c r="B297" s="43"/>
      <c r="C297" s="44"/>
      <c r="D297" s="44"/>
      <c r="E297" s="44"/>
      <c r="F297" s="44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3">
      <c r="A298" s="20"/>
      <c r="B298" s="43"/>
      <c r="C298" s="44"/>
      <c r="D298" s="44"/>
      <c r="E298" s="44"/>
      <c r="F298" s="44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3">
      <c r="A299" s="20"/>
      <c r="B299" s="43"/>
      <c r="C299" s="44"/>
      <c r="D299" s="44"/>
      <c r="E299" s="44"/>
      <c r="F299" s="44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3">
      <c r="A300" s="20"/>
      <c r="B300" s="43"/>
      <c r="C300" s="44"/>
      <c r="D300" s="44"/>
      <c r="E300" s="44"/>
      <c r="F300" s="44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3">
      <c r="A301" s="20"/>
      <c r="B301" s="43"/>
      <c r="C301" s="44"/>
      <c r="D301" s="44"/>
      <c r="E301" s="44"/>
      <c r="F301" s="44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3">
      <c r="A302" s="20"/>
      <c r="B302" s="43"/>
      <c r="C302" s="44"/>
      <c r="D302" s="44"/>
      <c r="E302" s="44"/>
      <c r="F302" s="44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3">
      <c r="A303" s="20"/>
      <c r="B303" s="43"/>
      <c r="C303" s="44"/>
      <c r="D303" s="44"/>
      <c r="E303" s="44"/>
      <c r="F303" s="44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3">
      <c r="A304" s="20"/>
      <c r="B304" s="43"/>
      <c r="C304" s="44"/>
      <c r="D304" s="44"/>
      <c r="E304" s="44"/>
      <c r="F304" s="44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3">
      <c r="A305" s="20"/>
      <c r="B305" s="43"/>
      <c r="C305" s="44"/>
      <c r="D305" s="44"/>
      <c r="E305" s="44"/>
      <c r="F305" s="44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3">
      <c r="A306" s="20"/>
      <c r="B306" s="43"/>
      <c r="C306" s="44"/>
      <c r="D306" s="44"/>
      <c r="E306" s="44"/>
      <c r="F306" s="44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3">
      <c r="A307" s="20"/>
      <c r="B307" s="43"/>
      <c r="C307" s="44"/>
      <c r="D307" s="44"/>
      <c r="E307" s="44"/>
      <c r="F307" s="44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3">
      <c r="A308" s="20"/>
      <c r="B308" s="43"/>
      <c r="C308" s="44"/>
      <c r="D308" s="44"/>
      <c r="E308" s="44"/>
      <c r="F308" s="44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3">
      <c r="A309" s="20"/>
      <c r="B309" s="43"/>
      <c r="C309" s="44"/>
      <c r="D309" s="44"/>
      <c r="E309" s="44"/>
      <c r="F309" s="44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3">
      <c r="A310" s="20"/>
      <c r="B310" s="43"/>
      <c r="C310" s="44"/>
      <c r="D310" s="44"/>
      <c r="E310" s="44"/>
      <c r="F310" s="44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3">
      <c r="A311" s="20"/>
      <c r="B311" s="43"/>
      <c r="C311" s="44"/>
      <c r="D311" s="44"/>
      <c r="E311" s="44"/>
      <c r="F311" s="44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3">
      <c r="A312" s="20"/>
      <c r="B312" s="43"/>
      <c r="C312" s="44"/>
      <c r="D312" s="44"/>
      <c r="E312" s="44"/>
      <c r="F312" s="44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3">
      <c r="A313" s="20"/>
      <c r="B313" s="43"/>
      <c r="C313" s="44"/>
      <c r="D313" s="44"/>
      <c r="E313" s="44"/>
      <c r="F313" s="44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3">
      <c r="A314" s="20"/>
      <c r="B314" s="43"/>
      <c r="C314" s="44"/>
      <c r="D314" s="44"/>
      <c r="E314" s="44"/>
      <c r="F314" s="44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3">
      <c r="A315" s="20"/>
      <c r="B315" s="43"/>
      <c r="C315" s="44"/>
      <c r="D315" s="44"/>
      <c r="E315" s="44"/>
      <c r="F315" s="44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3">
      <c r="A316" s="20"/>
      <c r="B316" s="43"/>
      <c r="C316" s="44"/>
      <c r="D316" s="44"/>
      <c r="E316" s="44"/>
      <c r="F316" s="44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3">
      <c r="A317" s="20"/>
      <c r="B317" s="43"/>
      <c r="C317" s="44"/>
      <c r="D317" s="44"/>
      <c r="E317" s="44"/>
      <c r="F317" s="44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3">
      <c r="A318" s="20"/>
      <c r="B318" s="43"/>
      <c r="C318" s="44"/>
      <c r="D318" s="44"/>
      <c r="E318" s="44"/>
      <c r="F318" s="44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3">
      <c r="A319" s="20"/>
      <c r="B319" s="43"/>
      <c r="C319" s="44"/>
      <c r="D319" s="44"/>
      <c r="E319" s="44"/>
      <c r="F319" s="44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3">
      <c r="A320" s="20"/>
      <c r="B320" s="43"/>
      <c r="C320" s="44"/>
      <c r="D320" s="44"/>
      <c r="E320" s="44"/>
      <c r="F320" s="44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3">
      <c r="A321" s="20"/>
      <c r="B321" s="43"/>
      <c r="C321" s="44"/>
      <c r="D321" s="44"/>
      <c r="E321" s="44"/>
      <c r="F321" s="44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3">
      <c r="A322" s="20"/>
      <c r="B322" s="43"/>
      <c r="C322" s="44"/>
      <c r="D322" s="44"/>
      <c r="E322" s="44"/>
      <c r="F322" s="44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3">
      <c r="A323" s="20"/>
      <c r="B323" s="43"/>
      <c r="C323" s="44"/>
      <c r="D323" s="44"/>
      <c r="E323" s="44"/>
      <c r="F323" s="44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3">
      <c r="A324" s="20"/>
      <c r="B324" s="43"/>
      <c r="C324" s="44"/>
      <c r="D324" s="44"/>
      <c r="E324" s="44"/>
      <c r="F324" s="44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3">
      <c r="A325" s="20"/>
      <c r="B325" s="43"/>
      <c r="C325" s="44"/>
      <c r="D325" s="44"/>
      <c r="E325" s="44"/>
      <c r="F325" s="44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3">
      <c r="A326" s="20"/>
      <c r="B326" s="43"/>
      <c r="C326" s="44"/>
      <c r="D326" s="44"/>
      <c r="E326" s="44"/>
      <c r="F326" s="44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3">
      <c r="A327" s="20"/>
      <c r="B327" s="43"/>
      <c r="C327" s="44"/>
      <c r="D327" s="44"/>
      <c r="E327" s="44"/>
      <c r="F327" s="44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3">
      <c r="A328" s="20"/>
      <c r="B328" s="43"/>
      <c r="C328" s="44"/>
      <c r="D328" s="44"/>
      <c r="E328" s="44"/>
      <c r="F328" s="44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3">
      <c r="A329" s="20"/>
      <c r="B329" s="43"/>
      <c r="C329" s="44"/>
      <c r="D329" s="44"/>
      <c r="E329" s="44"/>
      <c r="F329" s="44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3">
      <c r="A330" s="20"/>
      <c r="B330" s="43"/>
      <c r="C330" s="44"/>
      <c r="D330" s="44"/>
      <c r="E330" s="44"/>
      <c r="F330" s="44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3">
      <c r="A331" s="20"/>
      <c r="B331" s="43"/>
      <c r="C331" s="44"/>
      <c r="D331" s="44"/>
      <c r="E331" s="44"/>
      <c r="F331" s="44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3">
      <c r="A332" s="20"/>
      <c r="B332" s="43"/>
      <c r="C332" s="44"/>
      <c r="D332" s="44"/>
      <c r="E332" s="44"/>
      <c r="F332" s="44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3">
      <c r="A333" s="20"/>
      <c r="B333" s="43"/>
      <c r="C333" s="44"/>
      <c r="D333" s="44"/>
      <c r="E333" s="44"/>
      <c r="F333" s="44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3">
      <c r="A334" s="20"/>
      <c r="B334" s="43"/>
      <c r="C334" s="44"/>
      <c r="D334" s="44"/>
      <c r="E334" s="44"/>
      <c r="F334" s="44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3">
      <c r="A335" s="20"/>
      <c r="B335" s="43"/>
      <c r="C335" s="44"/>
      <c r="D335" s="44"/>
      <c r="E335" s="44"/>
      <c r="F335" s="44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3">
      <c r="A336" s="20"/>
      <c r="B336" s="43"/>
      <c r="C336" s="44"/>
      <c r="D336" s="44"/>
      <c r="E336" s="44"/>
      <c r="F336" s="44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3">
      <c r="A337" s="20"/>
      <c r="B337" s="43"/>
      <c r="C337" s="44"/>
      <c r="D337" s="44"/>
      <c r="E337" s="44"/>
      <c r="F337" s="44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3">
      <c r="A338" s="20"/>
      <c r="B338" s="43"/>
      <c r="C338" s="44"/>
      <c r="D338" s="44"/>
      <c r="E338" s="44"/>
      <c r="F338" s="44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3">
      <c r="A339" s="20"/>
      <c r="B339" s="43"/>
      <c r="C339" s="44"/>
      <c r="D339" s="44"/>
      <c r="E339" s="44"/>
      <c r="F339" s="44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3">
      <c r="A340" s="20"/>
      <c r="B340" s="43"/>
      <c r="C340" s="44"/>
      <c r="D340" s="44"/>
      <c r="E340" s="44"/>
      <c r="F340" s="44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3">
      <c r="A341" s="20"/>
      <c r="B341" s="43"/>
      <c r="C341" s="44"/>
      <c r="D341" s="44"/>
      <c r="E341" s="44"/>
      <c r="F341" s="44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3">
      <c r="A342" s="20"/>
      <c r="B342" s="43"/>
      <c r="C342" s="44"/>
      <c r="D342" s="44"/>
      <c r="E342" s="44"/>
      <c r="F342" s="44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3">
      <c r="A343" s="20"/>
      <c r="B343" s="43"/>
      <c r="C343" s="44"/>
      <c r="D343" s="44"/>
      <c r="E343" s="44"/>
      <c r="F343" s="44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3">
      <c r="A344" s="20"/>
      <c r="B344" s="43"/>
      <c r="C344" s="44"/>
      <c r="D344" s="44"/>
      <c r="E344" s="44"/>
      <c r="F344" s="44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3">
      <c r="A345" s="20"/>
      <c r="B345" s="43"/>
      <c r="C345" s="44"/>
      <c r="D345" s="44"/>
      <c r="E345" s="44"/>
      <c r="F345" s="44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3">
      <c r="A346" s="20"/>
      <c r="B346" s="43"/>
      <c r="C346" s="44"/>
      <c r="D346" s="44"/>
      <c r="E346" s="44"/>
      <c r="F346" s="44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3">
      <c r="A347" s="20"/>
      <c r="B347" s="43"/>
      <c r="C347" s="44"/>
      <c r="D347" s="44"/>
      <c r="E347" s="44"/>
      <c r="F347" s="44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3">
      <c r="A348" s="20"/>
      <c r="B348" s="43"/>
      <c r="C348" s="44"/>
      <c r="D348" s="44"/>
      <c r="E348" s="44"/>
      <c r="F348" s="44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3">
      <c r="A349" s="20"/>
      <c r="B349" s="43"/>
      <c r="C349" s="44"/>
      <c r="D349" s="44"/>
      <c r="E349" s="44"/>
      <c r="F349" s="44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3">
      <c r="A350" s="20"/>
      <c r="B350" s="43"/>
      <c r="C350" s="44"/>
      <c r="D350" s="44"/>
      <c r="E350" s="44"/>
      <c r="F350" s="44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3">
      <c r="A351" s="20"/>
      <c r="B351" s="43"/>
      <c r="C351" s="44"/>
      <c r="D351" s="44"/>
      <c r="E351" s="44"/>
      <c r="F351" s="44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3">
      <c r="A352" s="20"/>
      <c r="B352" s="43"/>
      <c r="C352" s="44"/>
      <c r="D352" s="44"/>
      <c r="E352" s="44"/>
      <c r="F352" s="44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3">
      <c r="A353" s="20"/>
      <c r="B353" s="43"/>
      <c r="C353" s="44"/>
      <c r="D353" s="44"/>
      <c r="E353" s="44"/>
      <c r="F353" s="44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3">
      <c r="A354" s="20"/>
      <c r="B354" s="43"/>
      <c r="C354" s="44"/>
      <c r="D354" s="44"/>
      <c r="E354" s="44"/>
      <c r="F354" s="44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3">
      <c r="A355" s="20"/>
      <c r="B355" s="43"/>
      <c r="C355" s="44"/>
      <c r="D355" s="44"/>
      <c r="E355" s="44"/>
      <c r="F355" s="44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3">
      <c r="A356" s="20"/>
      <c r="B356" s="43"/>
      <c r="C356" s="44"/>
      <c r="D356" s="44"/>
      <c r="E356" s="44"/>
      <c r="F356" s="44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3">
      <c r="A357" s="20"/>
      <c r="B357" s="43"/>
      <c r="C357" s="44"/>
      <c r="D357" s="44"/>
      <c r="E357" s="44"/>
      <c r="F357" s="44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3">
      <c r="A358" s="20"/>
      <c r="B358" s="43"/>
      <c r="C358" s="44"/>
      <c r="D358" s="44"/>
      <c r="E358" s="44"/>
      <c r="F358" s="44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3">
      <c r="A359" s="20"/>
      <c r="B359" s="43"/>
      <c r="C359" s="44"/>
      <c r="D359" s="44"/>
      <c r="E359" s="44"/>
      <c r="F359" s="44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3">
      <c r="A360" s="20"/>
      <c r="B360" s="43"/>
      <c r="C360" s="44"/>
      <c r="D360" s="44"/>
      <c r="E360" s="44"/>
      <c r="F360" s="44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3">
      <c r="A361" s="20"/>
      <c r="B361" s="43"/>
      <c r="C361" s="44"/>
      <c r="D361" s="44"/>
      <c r="E361" s="44"/>
      <c r="F361" s="44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3">
      <c r="A362" s="20"/>
      <c r="B362" s="43"/>
      <c r="C362" s="44"/>
      <c r="D362" s="44"/>
      <c r="E362" s="44"/>
      <c r="F362" s="44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3">
      <c r="A363" s="20"/>
      <c r="B363" s="43"/>
      <c r="C363" s="44"/>
      <c r="D363" s="44"/>
      <c r="E363" s="44"/>
      <c r="F363" s="44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3">
      <c r="A364" s="20"/>
      <c r="B364" s="43"/>
      <c r="C364" s="44"/>
      <c r="D364" s="44"/>
      <c r="E364" s="44"/>
      <c r="F364" s="44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3">
      <c r="A365" s="20"/>
      <c r="B365" s="43"/>
      <c r="C365" s="44"/>
      <c r="D365" s="44"/>
      <c r="E365" s="44"/>
      <c r="F365" s="44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3">
      <c r="A366" s="20"/>
      <c r="B366" s="43"/>
      <c r="C366" s="44"/>
      <c r="D366" s="44"/>
      <c r="E366" s="44"/>
      <c r="F366" s="44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3">
      <c r="A367" s="20"/>
      <c r="B367" s="43"/>
      <c r="C367" s="44"/>
      <c r="D367" s="44"/>
      <c r="E367" s="44"/>
      <c r="F367" s="44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3">
      <c r="A368" s="20"/>
      <c r="B368" s="43"/>
      <c r="C368" s="44"/>
      <c r="D368" s="44"/>
      <c r="E368" s="44"/>
      <c r="F368" s="44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3">
      <c r="A369" s="20"/>
      <c r="B369" s="43"/>
      <c r="C369" s="44"/>
      <c r="D369" s="44"/>
      <c r="E369" s="44"/>
      <c r="F369" s="44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3">
      <c r="A370" s="20"/>
      <c r="B370" s="43"/>
      <c r="C370" s="44"/>
      <c r="D370" s="44"/>
      <c r="E370" s="44"/>
      <c r="F370" s="44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3">
      <c r="A371" s="20"/>
      <c r="B371" s="43"/>
      <c r="C371" s="44"/>
      <c r="D371" s="44"/>
      <c r="E371" s="44"/>
      <c r="F371" s="44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3">
      <c r="A372" s="20"/>
      <c r="B372" s="43"/>
      <c r="C372" s="44"/>
      <c r="D372" s="44"/>
      <c r="E372" s="44"/>
      <c r="F372" s="44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3">
      <c r="A373" s="20"/>
      <c r="B373" s="43"/>
      <c r="C373" s="44"/>
      <c r="D373" s="44"/>
      <c r="E373" s="44"/>
      <c r="F373" s="44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3">
      <c r="A374" s="20"/>
      <c r="B374" s="43"/>
      <c r="C374" s="44"/>
      <c r="D374" s="44"/>
      <c r="E374" s="44"/>
      <c r="F374" s="44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3">
      <c r="A375" s="20"/>
      <c r="B375" s="43"/>
      <c r="C375" s="44"/>
      <c r="D375" s="44"/>
      <c r="E375" s="44"/>
      <c r="F375" s="44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3">
      <c r="A376" s="20"/>
      <c r="B376" s="43"/>
      <c r="C376" s="44"/>
      <c r="D376" s="44"/>
      <c r="E376" s="44"/>
      <c r="F376" s="44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3">
      <c r="A377" s="20"/>
      <c r="B377" s="43"/>
      <c r="C377" s="44"/>
      <c r="D377" s="44"/>
      <c r="E377" s="44"/>
      <c r="F377" s="44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3">
      <c r="A378" s="20"/>
      <c r="B378" s="43"/>
      <c r="C378" s="44"/>
      <c r="D378" s="44"/>
      <c r="E378" s="44"/>
      <c r="F378" s="44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3">
      <c r="A379" s="20"/>
      <c r="B379" s="43"/>
      <c r="C379" s="44"/>
      <c r="D379" s="44"/>
      <c r="E379" s="44"/>
      <c r="F379" s="44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3">
      <c r="A380" s="20"/>
      <c r="B380" s="43"/>
      <c r="C380" s="44"/>
      <c r="D380" s="44"/>
      <c r="E380" s="44"/>
      <c r="F380" s="44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3">
      <c r="A381" s="20"/>
      <c r="B381" s="43"/>
      <c r="C381" s="44"/>
      <c r="D381" s="44"/>
      <c r="E381" s="44"/>
      <c r="F381" s="44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3">
      <c r="A382" s="20"/>
      <c r="B382" s="43"/>
      <c r="C382" s="44"/>
      <c r="D382" s="44"/>
      <c r="E382" s="44"/>
      <c r="F382" s="44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3">
      <c r="A383" s="20"/>
      <c r="B383" s="43"/>
      <c r="C383" s="44"/>
      <c r="D383" s="44"/>
      <c r="E383" s="44"/>
      <c r="F383" s="44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3">
      <c r="A384" s="20"/>
      <c r="B384" s="43"/>
      <c r="C384" s="44"/>
      <c r="D384" s="44"/>
      <c r="E384" s="44"/>
      <c r="F384" s="44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3">
      <c r="A385" s="20"/>
      <c r="B385" s="43"/>
      <c r="C385" s="44"/>
      <c r="D385" s="44"/>
      <c r="E385" s="44"/>
      <c r="F385" s="44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3">
      <c r="A386" s="20"/>
      <c r="B386" s="43"/>
      <c r="C386" s="44"/>
      <c r="D386" s="44"/>
      <c r="E386" s="44"/>
      <c r="F386" s="44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3">
      <c r="A387" s="20"/>
      <c r="B387" s="43"/>
      <c r="C387" s="44"/>
      <c r="D387" s="44"/>
      <c r="E387" s="44"/>
      <c r="F387" s="44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3">
      <c r="A388" s="20"/>
      <c r="B388" s="43"/>
      <c r="C388" s="44"/>
      <c r="D388" s="44"/>
      <c r="E388" s="44"/>
      <c r="F388" s="44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3">
      <c r="A389" s="20"/>
      <c r="B389" s="43"/>
      <c r="C389" s="44"/>
      <c r="D389" s="44"/>
      <c r="E389" s="44"/>
      <c r="F389" s="44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3">
      <c r="A390" s="20"/>
      <c r="B390" s="43"/>
      <c r="C390" s="44"/>
      <c r="D390" s="44"/>
      <c r="E390" s="44"/>
      <c r="F390" s="44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3">
      <c r="A391" s="20"/>
      <c r="B391" s="43"/>
      <c r="C391" s="44"/>
      <c r="D391" s="44"/>
      <c r="E391" s="44"/>
      <c r="F391" s="44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3">
      <c r="A392" s="20"/>
      <c r="B392" s="43"/>
      <c r="C392" s="44"/>
      <c r="D392" s="44"/>
      <c r="E392" s="44"/>
      <c r="F392" s="44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3">
      <c r="A393" s="20"/>
      <c r="B393" s="43"/>
      <c r="C393" s="44"/>
      <c r="D393" s="44"/>
      <c r="E393" s="44"/>
      <c r="F393" s="44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3">
      <c r="A394" s="20"/>
      <c r="B394" s="43"/>
      <c r="C394" s="44"/>
      <c r="D394" s="44"/>
      <c r="E394" s="44"/>
      <c r="F394" s="44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3">
      <c r="A395" s="20"/>
      <c r="B395" s="43"/>
      <c r="C395" s="44"/>
      <c r="D395" s="44"/>
      <c r="E395" s="44"/>
      <c r="F395" s="44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3">
      <c r="A396" s="20"/>
      <c r="B396" s="43"/>
      <c r="C396" s="44"/>
      <c r="D396" s="44"/>
      <c r="E396" s="44"/>
      <c r="F396" s="44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3">
      <c r="A397" s="20"/>
      <c r="B397" s="43"/>
      <c r="C397" s="44"/>
      <c r="D397" s="44"/>
      <c r="E397" s="44"/>
      <c r="F397" s="44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3">
      <c r="A398" s="20"/>
      <c r="B398" s="43"/>
      <c r="C398" s="44"/>
      <c r="D398" s="44"/>
      <c r="E398" s="44"/>
      <c r="F398" s="44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3">
      <c r="A399" s="20"/>
      <c r="B399" s="43"/>
      <c r="C399" s="44"/>
      <c r="D399" s="44"/>
      <c r="E399" s="44"/>
      <c r="F399" s="44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3">
      <c r="A400" s="20"/>
      <c r="B400" s="43"/>
      <c r="C400" s="44"/>
      <c r="D400" s="44"/>
      <c r="E400" s="44"/>
      <c r="F400" s="44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3">
      <c r="A401" s="20"/>
      <c r="B401" s="43"/>
      <c r="C401" s="44"/>
      <c r="D401" s="44"/>
      <c r="E401" s="44"/>
      <c r="F401" s="44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3">
      <c r="A402" s="20"/>
      <c r="B402" s="43"/>
      <c r="C402" s="44"/>
      <c r="D402" s="44"/>
      <c r="E402" s="44"/>
      <c r="F402" s="44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3">
      <c r="A403" s="20"/>
      <c r="B403" s="43"/>
      <c r="C403" s="44"/>
      <c r="D403" s="44"/>
      <c r="E403" s="44"/>
      <c r="F403" s="44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3">
      <c r="A404" s="20"/>
      <c r="B404" s="43"/>
      <c r="C404" s="44"/>
      <c r="D404" s="44"/>
      <c r="E404" s="44"/>
      <c r="F404" s="44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3">
      <c r="A405" s="20"/>
      <c r="B405" s="43"/>
      <c r="C405" s="44"/>
      <c r="D405" s="44"/>
      <c r="E405" s="44"/>
      <c r="F405" s="44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3">
      <c r="A406" s="20"/>
      <c r="B406" s="43"/>
      <c r="C406" s="44"/>
      <c r="D406" s="44"/>
      <c r="E406" s="44"/>
      <c r="F406" s="44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3">
      <c r="A407" s="20"/>
      <c r="B407" s="43"/>
      <c r="C407" s="44"/>
      <c r="D407" s="44"/>
      <c r="E407" s="44"/>
      <c r="F407" s="44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3">
      <c r="A408" s="20"/>
      <c r="B408" s="43"/>
      <c r="C408" s="44"/>
      <c r="D408" s="44"/>
      <c r="E408" s="44"/>
      <c r="F408" s="44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3">
      <c r="A409" s="20"/>
      <c r="B409" s="43"/>
      <c r="C409" s="44"/>
      <c r="D409" s="44"/>
      <c r="E409" s="44"/>
      <c r="F409" s="44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3">
      <c r="A410" s="20"/>
      <c r="B410" s="43"/>
      <c r="C410" s="44"/>
      <c r="D410" s="44"/>
      <c r="E410" s="44"/>
      <c r="F410" s="44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3">
      <c r="A411" s="20"/>
      <c r="B411" s="43"/>
      <c r="C411" s="44"/>
      <c r="D411" s="44"/>
      <c r="E411" s="44"/>
      <c r="F411" s="44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3">
      <c r="A412" s="20"/>
      <c r="B412" s="43"/>
      <c r="C412" s="44"/>
      <c r="D412" s="44"/>
      <c r="E412" s="44"/>
      <c r="F412" s="44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3">
      <c r="A413" s="20"/>
      <c r="B413" s="43"/>
      <c r="C413" s="44"/>
      <c r="D413" s="44"/>
      <c r="E413" s="44"/>
      <c r="F413" s="44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3">
      <c r="A414" s="20"/>
      <c r="B414" s="43"/>
      <c r="C414" s="44"/>
      <c r="D414" s="44"/>
      <c r="E414" s="44"/>
      <c r="F414" s="44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3">
      <c r="A415" s="20"/>
      <c r="B415" s="43"/>
      <c r="C415" s="44"/>
      <c r="D415" s="44"/>
      <c r="E415" s="44"/>
      <c r="F415" s="44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3">
      <c r="A416" s="20"/>
      <c r="B416" s="43"/>
      <c r="C416" s="44"/>
      <c r="D416" s="44"/>
      <c r="E416" s="44"/>
      <c r="F416" s="44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3">
      <c r="A417" s="20"/>
      <c r="B417" s="43"/>
      <c r="C417" s="44"/>
      <c r="D417" s="44"/>
      <c r="E417" s="44"/>
      <c r="F417" s="44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3">
      <c r="A418" s="20"/>
      <c r="B418" s="43"/>
      <c r="C418" s="44"/>
      <c r="D418" s="44"/>
      <c r="E418" s="44"/>
      <c r="F418" s="44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3">
      <c r="A419" s="20"/>
      <c r="B419" s="43"/>
      <c r="C419" s="44"/>
      <c r="D419" s="44"/>
      <c r="E419" s="44"/>
      <c r="F419" s="44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3">
      <c r="A420" s="20"/>
      <c r="B420" s="43"/>
      <c r="C420" s="44"/>
      <c r="D420" s="44"/>
      <c r="E420" s="44"/>
      <c r="F420" s="44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3">
      <c r="A421" s="20"/>
      <c r="B421" s="43"/>
      <c r="C421" s="44"/>
      <c r="D421" s="44"/>
      <c r="E421" s="44"/>
      <c r="F421" s="44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3">
      <c r="A422" s="20"/>
      <c r="B422" s="43"/>
      <c r="C422" s="44"/>
      <c r="D422" s="44"/>
      <c r="E422" s="44"/>
      <c r="F422" s="44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3">
      <c r="A423" s="20"/>
      <c r="B423" s="43"/>
      <c r="C423" s="44"/>
      <c r="D423" s="44"/>
      <c r="E423" s="44"/>
      <c r="F423" s="44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3">
      <c r="A424" s="20"/>
      <c r="B424" s="43"/>
      <c r="C424" s="44"/>
      <c r="D424" s="44"/>
      <c r="E424" s="44"/>
      <c r="F424" s="44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3">
      <c r="A425" s="20"/>
      <c r="B425" s="43"/>
      <c r="C425" s="44"/>
      <c r="D425" s="44"/>
      <c r="E425" s="44"/>
      <c r="F425" s="44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3">
      <c r="A426" s="20"/>
      <c r="B426" s="43"/>
      <c r="C426" s="44"/>
      <c r="D426" s="44"/>
      <c r="E426" s="44"/>
      <c r="F426" s="44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3">
      <c r="A427" s="20"/>
      <c r="B427" s="43"/>
      <c r="C427" s="44"/>
      <c r="D427" s="44"/>
      <c r="E427" s="44"/>
      <c r="F427" s="44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3">
      <c r="A428" s="20"/>
      <c r="B428" s="43"/>
      <c r="C428" s="44"/>
      <c r="D428" s="44"/>
      <c r="E428" s="44"/>
      <c r="F428" s="44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3">
      <c r="A429" s="20"/>
      <c r="B429" s="43"/>
      <c r="C429" s="44"/>
      <c r="D429" s="44"/>
      <c r="E429" s="44"/>
      <c r="F429" s="44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3">
      <c r="A430" s="20"/>
      <c r="B430" s="43"/>
      <c r="C430" s="44"/>
      <c r="D430" s="44"/>
      <c r="E430" s="44"/>
      <c r="F430" s="44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3">
      <c r="A431" s="20"/>
      <c r="B431" s="43"/>
      <c r="C431" s="44"/>
      <c r="D431" s="44"/>
      <c r="E431" s="44"/>
      <c r="F431" s="44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3">
      <c r="A432" s="20"/>
      <c r="B432" s="43"/>
      <c r="C432" s="44"/>
      <c r="D432" s="44"/>
      <c r="E432" s="44"/>
      <c r="F432" s="44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3">
      <c r="A433" s="20"/>
      <c r="B433" s="43"/>
      <c r="C433" s="44"/>
      <c r="D433" s="44"/>
      <c r="E433" s="44"/>
      <c r="F433" s="44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3">
      <c r="A434" s="20"/>
      <c r="B434" s="43"/>
      <c r="C434" s="44"/>
      <c r="D434" s="44"/>
      <c r="E434" s="44"/>
      <c r="F434" s="44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3">
      <c r="A435" s="20"/>
      <c r="B435" s="43"/>
      <c r="C435" s="44"/>
      <c r="D435" s="44"/>
      <c r="E435" s="44"/>
      <c r="F435" s="44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3">
      <c r="A436" s="20"/>
      <c r="B436" s="43"/>
      <c r="C436" s="44"/>
      <c r="D436" s="44"/>
      <c r="E436" s="44"/>
      <c r="F436" s="44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3">
      <c r="A437" s="20"/>
      <c r="B437" s="43"/>
      <c r="C437" s="44"/>
      <c r="D437" s="44"/>
      <c r="E437" s="44"/>
      <c r="F437" s="44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3">
      <c r="A438" s="20"/>
      <c r="B438" s="43"/>
      <c r="C438" s="44"/>
      <c r="D438" s="44"/>
      <c r="E438" s="44"/>
      <c r="F438" s="44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3">
      <c r="A439" s="20"/>
      <c r="B439" s="43"/>
      <c r="C439" s="44"/>
      <c r="D439" s="44"/>
      <c r="E439" s="44"/>
      <c r="F439" s="44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3">
      <c r="A440" s="20"/>
      <c r="B440" s="43"/>
      <c r="C440" s="44"/>
      <c r="D440" s="44"/>
      <c r="E440" s="44"/>
      <c r="F440" s="44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3">
      <c r="A441" s="20"/>
      <c r="B441" s="43"/>
      <c r="C441" s="44"/>
      <c r="D441" s="44"/>
      <c r="E441" s="44"/>
      <c r="F441" s="44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3">
      <c r="A442" s="20"/>
      <c r="B442" s="43"/>
      <c r="C442" s="44"/>
      <c r="D442" s="44"/>
      <c r="E442" s="44"/>
      <c r="F442" s="44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3">
      <c r="A443" s="20"/>
      <c r="B443" s="43"/>
      <c r="C443" s="44"/>
      <c r="D443" s="44"/>
      <c r="E443" s="44"/>
      <c r="F443" s="44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3">
      <c r="A444" s="20"/>
      <c r="B444" s="43"/>
      <c r="C444" s="44"/>
      <c r="D444" s="44"/>
      <c r="E444" s="44"/>
      <c r="F444" s="44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3">
      <c r="A445" s="20"/>
      <c r="B445" s="43"/>
      <c r="C445" s="44"/>
      <c r="D445" s="44"/>
      <c r="E445" s="44"/>
      <c r="F445" s="44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3">
      <c r="A446" s="20"/>
      <c r="B446" s="43"/>
      <c r="C446" s="44"/>
      <c r="D446" s="44"/>
      <c r="E446" s="44"/>
      <c r="F446" s="44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3">
      <c r="A447" s="20"/>
      <c r="B447" s="43"/>
      <c r="C447" s="44"/>
      <c r="D447" s="44"/>
      <c r="E447" s="44"/>
      <c r="F447" s="44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3">
      <c r="A448" s="20"/>
      <c r="B448" s="43"/>
      <c r="C448" s="44"/>
      <c r="D448" s="44"/>
      <c r="E448" s="44"/>
      <c r="F448" s="44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3">
      <c r="A449" s="20"/>
      <c r="B449" s="43"/>
      <c r="C449" s="44"/>
      <c r="D449" s="44"/>
      <c r="E449" s="44"/>
      <c r="F449" s="44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3">
      <c r="A450" s="20"/>
      <c r="B450" s="43"/>
      <c r="C450" s="44"/>
      <c r="D450" s="44"/>
      <c r="E450" s="44"/>
      <c r="F450" s="44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3">
      <c r="A451" s="20"/>
      <c r="B451" s="43"/>
      <c r="C451" s="44"/>
      <c r="D451" s="44"/>
      <c r="E451" s="44"/>
      <c r="F451" s="44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3">
      <c r="A452" s="20"/>
      <c r="B452" s="43"/>
      <c r="C452" s="44"/>
      <c r="D452" s="44"/>
      <c r="E452" s="44"/>
      <c r="F452" s="44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3">
      <c r="A453" s="20"/>
      <c r="B453" s="43"/>
      <c r="C453" s="44"/>
      <c r="D453" s="44"/>
      <c r="E453" s="44"/>
      <c r="F453" s="44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3">
      <c r="A454" s="20"/>
      <c r="B454" s="43"/>
      <c r="C454" s="44"/>
      <c r="D454" s="44"/>
      <c r="E454" s="44"/>
      <c r="F454" s="44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3">
      <c r="A455" s="20"/>
      <c r="B455" s="43"/>
      <c r="C455" s="44"/>
      <c r="D455" s="44"/>
      <c r="E455" s="44"/>
      <c r="F455" s="44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3">
      <c r="A456" s="20"/>
      <c r="B456" s="43"/>
      <c r="C456" s="44"/>
      <c r="D456" s="44"/>
      <c r="E456" s="44"/>
      <c r="F456" s="44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3">
      <c r="A457" s="20"/>
      <c r="B457" s="43"/>
      <c r="C457" s="44"/>
      <c r="D457" s="44"/>
      <c r="E457" s="44"/>
      <c r="F457" s="44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3">
      <c r="A458" s="20"/>
      <c r="B458" s="43"/>
      <c r="C458" s="44"/>
      <c r="D458" s="44"/>
      <c r="E458" s="44"/>
      <c r="F458" s="44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3">
      <c r="A459" s="20"/>
      <c r="B459" s="43"/>
      <c r="C459" s="44"/>
      <c r="D459" s="44"/>
      <c r="E459" s="44"/>
      <c r="F459" s="44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3">
      <c r="A460" s="20"/>
      <c r="B460" s="43"/>
      <c r="C460" s="44"/>
      <c r="D460" s="44"/>
      <c r="E460" s="44"/>
      <c r="F460" s="44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3">
      <c r="A461" s="20"/>
      <c r="B461" s="43"/>
      <c r="C461" s="44"/>
      <c r="D461" s="44"/>
      <c r="E461" s="44"/>
      <c r="F461" s="44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3">
      <c r="A462" s="20"/>
      <c r="B462" s="43"/>
      <c r="C462" s="44"/>
      <c r="D462" s="44"/>
      <c r="E462" s="44"/>
      <c r="F462" s="44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3">
      <c r="A463" s="20"/>
      <c r="B463" s="43"/>
      <c r="C463" s="44"/>
      <c r="D463" s="44"/>
      <c r="E463" s="44"/>
      <c r="F463" s="44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3">
      <c r="A464" s="20"/>
      <c r="B464" s="43"/>
      <c r="C464" s="44"/>
      <c r="D464" s="44"/>
      <c r="E464" s="44"/>
      <c r="F464" s="44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3">
      <c r="A465" s="20"/>
      <c r="B465" s="43"/>
      <c r="C465" s="44"/>
      <c r="D465" s="44"/>
      <c r="E465" s="44"/>
      <c r="F465" s="44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3">
      <c r="A466" s="20"/>
      <c r="B466" s="43"/>
      <c r="C466" s="44"/>
      <c r="D466" s="44"/>
      <c r="E466" s="44"/>
      <c r="F466" s="44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3">
      <c r="A467" s="20"/>
      <c r="B467" s="43"/>
      <c r="C467" s="44"/>
      <c r="D467" s="44"/>
      <c r="E467" s="44"/>
      <c r="F467" s="44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3">
      <c r="A468" s="20"/>
      <c r="B468" s="43"/>
      <c r="C468" s="44"/>
      <c r="D468" s="44"/>
      <c r="E468" s="44"/>
      <c r="F468" s="44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3">
      <c r="A469" s="20"/>
      <c r="B469" s="43"/>
      <c r="C469" s="44"/>
      <c r="D469" s="44"/>
      <c r="E469" s="44"/>
      <c r="F469" s="44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3">
      <c r="A470" s="20"/>
      <c r="B470" s="43"/>
      <c r="C470" s="44"/>
      <c r="D470" s="44"/>
      <c r="E470" s="44"/>
      <c r="F470" s="44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3">
      <c r="A471" s="20"/>
      <c r="B471" s="43"/>
      <c r="C471" s="44"/>
      <c r="D471" s="44"/>
      <c r="E471" s="44"/>
      <c r="F471" s="44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3">
      <c r="A472" s="20"/>
      <c r="B472" s="43"/>
      <c r="C472" s="44"/>
      <c r="D472" s="44"/>
      <c r="E472" s="44"/>
      <c r="F472" s="44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3">
      <c r="A473" s="20"/>
      <c r="B473" s="43"/>
      <c r="C473" s="44"/>
      <c r="D473" s="44"/>
      <c r="E473" s="44"/>
      <c r="F473" s="44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3">
      <c r="A474" s="20"/>
      <c r="B474" s="43"/>
      <c r="C474" s="44"/>
      <c r="D474" s="44"/>
      <c r="E474" s="44"/>
      <c r="F474" s="44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3">
      <c r="A475" s="20"/>
      <c r="B475" s="43"/>
      <c r="C475" s="44"/>
      <c r="D475" s="44"/>
      <c r="E475" s="44"/>
      <c r="F475" s="44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3">
      <c r="A476" s="20"/>
      <c r="B476" s="43"/>
      <c r="C476" s="44"/>
      <c r="D476" s="44"/>
      <c r="E476" s="44"/>
      <c r="F476" s="44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3">
      <c r="A477" s="20"/>
      <c r="B477" s="43"/>
      <c r="C477" s="44"/>
      <c r="D477" s="44"/>
      <c r="E477" s="44"/>
      <c r="F477" s="44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3">
      <c r="A478" s="20"/>
      <c r="B478" s="43"/>
      <c r="C478" s="44"/>
      <c r="D478" s="44"/>
      <c r="E478" s="44"/>
      <c r="F478" s="44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3">
      <c r="A479" s="20"/>
      <c r="B479" s="43"/>
      <c r="C479" s="44"/>
      <c r="D479" s="44"/>
      <c r="E479" s="44"/>
      <c r="F479" s="44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3">
      <c r="A480" s="20"/>
      <c r="B480" s="43"/>
      <c r="C480" s="44"/>
      <c r="D480" s="44"/>
      <c r="E480" s="44"/>
      <c r="F480" s="44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3">
      <c r="A481" s="20"/>
      <c r="B481" s="43"/>
      <c r="C481" s="44"/>
      <c r="D481" s="44"/>
      <c r="E481" s="44"/>
      <c r="F481" s="44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3">
      <c r="A482" s="20"/>
      <c r="B482" s="43"/>
      <c r="C482" s="44"/>
      <c r="D482" s="44"/>
      <c r="E482" s="44"/>
      <c r="F482" s="44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3">
      <c r="A483" s="20"/>
      <c r="B483" s="43"/>
      <c r="C483" s="44"/>
      <c r="D483" s="44"/>
      <c r="E483" s="44"/>
      <c r="F483" s="44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3">
      <c r="A484" s="20"/>
      <c r="B484" s="43"/>
      <c r="C484" s="44"/>
      <c r="D484" s="44"/>
      <c r="E484" s="44"/>
      <c r="F484" s="44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3">
      <c r="A485" s="20"/>
      <c r="B485" s="43"/>
      <c r="C485" s="44"/>
      <c r="D485" s="44"/>
      <c r="E485" s="44"/>
      <c r="F485" s="44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3">
      <c r="A486" s="20"/>
      <c r="B486" s="43"/>
      <c r="C486" s="44"/>
      <c r="D486" s="44"/>
      <c r="E486" s="44"/>
      <c r="F486" s="44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3">
      <c r="A487" s="20"/>
      <c r="B487" s="43"/>
      <c r="C487" s="44"/>
      <c r="D487" s="44"/>
      <c r="E487" s="44"/>
      <c r="F487" s="44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3">
      <c r="A488" s="20"/>
      <c r="B488" s="43"/>
      <c r="C488" s="44"/>
      <c r="D488" s="44"/>
      <c r="E488" s="44"/>
      <c r="F488" s="44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3">
      <c r="A489" s="20"/>
      <c r="B489" s="43"/>
      <c r="C489" s="44"/>
      <c r="D489" s="44"/>
      <c r="E489" s="44"/>
      <c r="F489" s="44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3">
      <c r="A490" s="20"/>
      <c r="B490" s="43"/>
      <c r="C490" s="44"/>
      <c r="D490" s="44"/>
      <c r="E490" s="44"/>
      <c r="F490" s="44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3">
      <c r="A491" s="20"/>
      <c r="B491" s="43"/>
      <c r="C491" s="44"/>
      <c r="D491" s="44"/>
      <c r="E491" s="44"/>
      <c r="F491" s="44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3">
      <c r="A492" s="20"/>
      <c r="B492" s="43"/>
      <c r="C492" s="44"/>
      <c r="D492" s="44"/>
      <c r="E492" s="44"/>
      <c r="F492" s="44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3">
      <c r="A493" s="20"/>
      <c r="B493" s="43"/>
      <c r="C493" s="44"/>
      <c r="D493" s="44"/>
      <c r="E493" s="44"/>
      <c r="F493" s="44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3">
      <c r="A494" s="20"/>
      <c r="B494" s="43"/>
      <c r="C494" s="44"/>
      <c r="D494" s="44"/>
      <c r="E494" s="44"/>
      <c r="F494" s="44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3">
      <c r="A495" s="20"/>
      <c r="B495" s="43"/>
      <c r="C495" s="44"/>
      <c r="D495" s="44"/>
      <c r="E495" s="44"/>
      <c r="F495" s="44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3">
      <c r="A496" s="20"/>
      <c r="B496" s="43"/>
      <c r="C496" s="44"/>
      <c r="D496" s="44"/>
      <c r="E496" s="44"/>
      <c r="F496" s="44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3">
      <c r="A497" s="20"/>
      <c r="B497" s="43"/>
      <c r="C497" s="44"/>
      <c r="D497" s="44"/>
      <c r="E497" s="44"/>
      <c r="F497" s="44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3">
      <c r="A498" s="20"/>
      <c r="B498" s="43"/>
      <c r="C498" s="44"/>
      <c r="D498" s="44"/>
      <c r="E498" s="44"/>
      <c r="F498" s="44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3">
      <c r="A499" s="20"/>
      <c r="B499" s="43"/>
      <c r="C499" s="44"/>
      <c r="D499" s="44"/>
      <c r="E499" s="44"/>
      <c r="F499" s="44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3">
      <c r="A500" s="20"/>
      <c r="B500" s="43"/>
      <c r="C500" s="44"/>
      <c r="D500" s="44"/>
      <c r="E500" s="44"/>
      <c r="F500" s="44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3">
      <c r="A501" s="20"/>
      <c r="B501" s="43"/>
      <c r="C501" s="44"/>
      <c r="D501" s="44"/>
      <c r="E501" s="44"/>
      <c r="F501" s="44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3">
      <c r="A502" s="20"/>
      <c r="B502" s="43"/>
      <c r="C502" s="44"/>
      <c r="D502" s="44"/>
      <c r="E502" s="44"/>
      <c r="F502" s="44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3">
      <c r="A503" s="20"/>
      <c r="B503" s="43"/>
      <c r="C503" s="44"/>
      <c r="D503" s="44"/>
      <c r="E503" s="44"/>
      <c r="F503" s="44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3">
      <c r="A504" s="20"/>
      <c r="B504" s="43"/>
      <c r="C504" s="44"/>
      <c r="D504" s="44"/>
      <c r="E504" s="44"/>
      <c r="F504" s="44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3">
      <c r="A505" s="20"/>
      <c r="B505" s="43"/>
      <c r="C505" s="44"/>
      <c r="D505" s="44"/>
      <c r="E505" s="44"/>
      <c r="F505" s="44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3">
      <c r="A506" s="20"/>
      <c r="B506" s="43"/>
      <c r="C506" s="44"/>
      <c r="D506" s="44"/>
      <c r="E506" s="44"/>
      <c r="F506" s="44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3">
      <c r="A507" s="20"/>
      <c r="B507" s="43"/>
      <c r="C507" s="44"/>
      <c r="D507" s="44"/>
      <c r="E507" s="44"/>
      <c r="F507" s="44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3">
      <c r="A508" s="20"/>
      <c r="B508" s="43"/>
      <c r="C508" s="44"/>
      <c r="D508" s="44"/>
      <c r="E508" s="44"/>
      <c r="F508" s="44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3">
      <c r="A509" s="20"/>
      <c r="B509" s="43"/>
      <c r="C509" s="44"/>
      <c r="D509" s="44"/>
      <c r="E509" s="44"/>
      <c r="F509" s="44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3">
      <c r="A510" s="20"/>
      <c r="B510" s="43"/>
      <c r="C510" s="44"/>
      <c r="D510" s="44"/>
      <c r="E510" s="44"/>
      <c r="F510" s="44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3">
      <c r="A511" s="20"/>
      <c r="B511" s="43"/>
      <c r="C511" s="44"/>
      <c r="D511" s="44"/>
      <c r="E511" s="44"/>
      <c r="F511" s="44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3">
      <c r="A512" s="20"/>
      <c r="B512" s="43"/>
      <c r="C512" s="44"/>
      <c r="D512" s="44"/>
      <c r="E512" s="44"/>
      <c r="F512" s="44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3">
      <c r="A513" s="20"/>
      <c r="B513" s="43"/>
      <c r="C513" s="44"/>
      <c r="D513" s="44"/>
      <c r="E513" s="44"/>
      <c r="F513" s="44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3">
      <c r="A514" s="20"/>
      <c r="B514" s="43"/>
      <c r="C514" s="44"/>
      <c r="D514" s="44"/>
      <c r="E514" s="44"/>
      <c r="F514" s="44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3">
      <c r="A515" s="20"/>
      <c r="B515" s="43"/>
      <c r="C515" s="44"/>
      <c r="D515" s="44"/>
      <c r="E515" s="44"/>
      <c r="F515" s="44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3">
      <c r="A516" s="20"/>
      <c r="B516" s="43"/>
      <c r="C516" s="44"/>
      <c r="D516" s="44"/>
      <c r="E516" s="44"/>
      <c r="F516" s="44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3">
      <c r="A517" s="20"/>
      <c r="B517" s="43"/>
      <c r="C517" s="44"/>
      <c r="D517" s="44"/>
      <c r="E517" s="44"/>
      <c r="F517" s="44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3">
      <c r="A518" s="20"/>
      <c r="B518" s="43"/>
      <c r="C518" s="44"/>
      <c r="D518" s="44"/>
      <c r="E518" s="44"/>
      <c r="F518" s="44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3">
      <c r="A519" s="20"/>
      <c r="B519" s="43"/>
      <c r="C519" s="44"/>
      <c r="D519" s="44"/>
      <c r="E519" s="44"/>
      <c r="F519" s="44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3">
      <c r="A520" s="20"/>
      <c r="B520" s="43"/>
      <c r="C520" s="44"/>
      <c r="D520" s="44"/>
      <c r="E520" s="44"/>
      <c r="F520" s="44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3">
      <c r="A521" s="20"/>
      <c r="B521" s="43"/>
      <c r="C521" s="44"/>
      <c r="D521" s="44"/>
      <c r="E521" s="44"/>
      <c r="F521" s="44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3">
      <c r="A522" s="20"/>
      <c r="B522" s="43"/>
      <c r="C522" s="44"/>
      <c r="D522" s="44"/>
      <c r="E522" s="44"/>
      <c r="F522" s="44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3">
      <c r="A523" s="20"/>
      <c r="B523" s="43"/>
      <c r="C523" s="44"/>
      <c r="D523" s="44"/>
      <c r="E523" s="44"/>
      <c r="F523" s="44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3">
      <c r="A524" s="20"/>
      <c r="B524" s="43"/>
      <c r="C524" s="44"/>
      <c r="D524" s="44"/>
      <c r="E524" s="44"/>
      <c r="F524" s="44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3">
      <c r="A525" s="20"/>
      <c r="B525" s="43"/>
      <c r="C525" s="44"/>
      <c r="D525" s="44"/>
      <c r="E525" s="44"/>
      <c r="F525" s="44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3">
      <c r="A526" s="20"/>
      <c r="B526" s="43"/>
      <c r="C526" s="44"/>
      <c r="D526" s="44"/>
      <c r="E526" s="44"/>
      <c r="F526" s="44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3">
      <c r="A527" s="20"/>
      <c r="B527" s="43"/>
      <c r="C527" s="44"/>
      <c r="D527" s="44"/>
      <c r="E527" s="44"/>
      <c r="F527" s="44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3">
      <c r="A528" s="20"/>
      <c r="B528" s="43"/>
      <c r="C528" s="44"/>
      <c r="D528" s="44"/>
      <c r="E528" s="44"/>
      <c r="F528" s="44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3">
      <c r="A529" s="20"/>
      <c r="B529" s="43"/>
      <c r="C529" s="44"/>
      <c r="D529" s="44"/>
      <c r="E529" s="44"/>
      <c r="F529" s="44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3">
      <c r="A530" s="20"/>
      <c r="B530" s="43"/>
      <c r="C530" s="44"/>
      <c r="D530" s="44"/>
      <c r="E530" s="44"/>
      <c r="F530" s="44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3">
      <c r="A531" s="20"/>
      <c r="B531" s="43"/>
      <c r="C531" s="44"/>
      <c r="D531" s="44"/>
      <c r="E531" s="44"/>
      <c r="F531" s="44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3">
      <c r="A532" s="20"/>
      <c r="B532" s="43"/>
      <c r="C532" s="44"/>
      <c r="D532" s="44"/>
      <c r="E532" s="44"/>
      <c r="F532" s="44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3">
      <c r="A533" s="20"/>
      <c r="B533" s="43"/>
      <c r="C533" s="44"/>
      <c r="D533" s="44"/>
      <c r="E533" s="44"/>
      <c r="F533" s="44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3">
      <c r="A534" s="20"/>
      <c r="B534" s="43"/>
      <c r="C534" s="44"/>
      <c r="D534" s="44"/>
      <c r="E534" s="44"/>
      <c r="F534" s="44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3">
      <c r="A535" s="20"/>
      <c r="B535" s="43"/>
      <c r="C535" s="44"/>
      <c r="D535" s="44"/>
      <c r="E535" s="44"/>
      <c r="F535" s="44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3">
      <c r="A536" s="20"/>
      <c r="B536" s="43"/>
      <c r="C536" s="44"/>
      <c r="D536" s="44"/>
      <c r="E536" s="44"/>
      <c r="F536" s="44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3">
      <c r="A537" s="20"/>
      <c r="B537" s="43"/>
      <c r="C537" s="44"/>
      <c r="D537" s="44"/>
      <c r="E537" s="44"/>
      <c r="F537" s="44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3">
      <c r="A538" s="20"/>
      <c r="B538" s="43"/>
      <c r="C538" s="44"/>
      <c r="D538" s="44"/>
      <c r="E538" s="44"/>
      <c r="F538" s="44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3">
      <c r="A539" s="20"/>
      <c r="B539" s="43"/>
      <c r="C539" s="44"/>
      <c r="D539" s="44"/>
      <c r="E539" s="44"/>
      <c r="F539" s="44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3">
      <c r="A540" s="20"/>
      <c r="B540" s="43"/>
      <c r="C540" s="44"/>
      <c r="D540" s="44"/>
      <c r="E540" s="44"/>
      <c r="F540" s="44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3">
      <c r="A541" s="20"/>
      <c r="B541" s="43"/>
      <c r="C541" s="44"/>
      <c r="D541" s="44"/>
      <c r="E541" s="44"/>
      <c r="F541" s="44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3">
      <c r="A542" s="20"/>
      <c r="B542" s="43"/>
      <c r="C542" s="44"/>
      <c r="D542" s="44"/>
      <c r="E542" s="44"/>
      <c r="F542" s="44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3">
      <c r="A543" s="20"/>
      <c r="B543" s="43"/>
      <c r="C543" s="44"/>
      <c r="D543" s="44"/>
      <c r="E543" s="44"/>
      <c r="F543" s="44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3">
      <c r="A544" s="20"/>
      <c r="B544" s="43"/>
      <c r="C544" s="44"/>
      <c r="D544" s="44"/>
      <c r="E544" s="44"/>
      <c r="F544" s="44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3">
      <c r="A545" s="20"/>
      <c r="B545" s="43"/>
      <c r="C545" s="44"/>
      <c r="D545" s="44"/>
      <c r="E545" s="44"/>
      <c r="F545" s="44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3">
      <c r="A546" s="20"/>
      <c r="B546" s="43"/>
      <c r="C546" s="44"/>
      <c r="D546" s="44"/>
      <c r="E546" s="44"/>
      <c r="F546" s="44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3">
      <c r="A547" s="20"/>
      <c r="B547" s="43"/>
      <c r="C547" s="44"/>
      <c r="D547" s="44"/>
      <c r="E547" s="44"/>
      <c r="F547" s="44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3">
      <c r="A548" s="20"/>
      <c r="B548" s="43"/>
      <c r="C548" s="44"/>
      <c r="D548" s="44"/>
      <c r="E548" s="44"/>
      <c r="F548" s="44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3">
      <c r="A549" s="20"/>
      <c r="B549" s="43"/>
      <c r="C549" s="44"/>
      <c r="D549" s="44"/>
      <c r="E549" s="44"/>
      <c r="F549" s="44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3">
      <c r="A550" s="20"/>
      <c r="B550" s="43"/>
      <c r="C550" s="44"/>
      <c r="D550" s="44"/>
      <c r="E550" s="44"/>
      <c r="F550" s="44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3">
      <c r="A551" s="20"/>
      <c r="B551" s="43"/>
      <c r="C551" s="44"/>
      <c r="D551" s="44"/>
      <c r="E551" s="44"/>
      <c r="F551" s="44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3">
      <c r="A552" s="20"/>
      <c r="B552" s="43"/>
      <c r="C552" s="44"/>
      <c r="D552" s="44"/>
      <c r="E552" s="44"/>
      <c r="F552" s="44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3">
      <c r="A553" s="20"/>
      <c r="B553" s="43"/>
      <c r="C553" s="44"/>
      <c r="D553" s="44"/>
      <c r="E553" s="44"/>
      <c r="F553" s="44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3">
      <c r="A554" s="20"/>
      <c r="B554" s="43"/>
      <c r="C554" s="44"/>
      <c r="D554" s="44"/>
      <c r="E554" s="44"/>
      <c r="F554" s="44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3">
      <c r="A555" s="20"/>
      <c r="B555" s="43"/>
      <c r="C555" s="44"/>
      <c r="D555" s="44"/>
      <c r="E555" s="44"/>
      <c r="F555" s="44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3">
      <c r="A556" s="20"/>
      <c r="B556" s="43"/>
      <c r="C556" s="44"/>
      <c r="D556" s="44"/>
      <c r="E556" s="44"/>
      <c r="F556" s="44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3">
      <c r="A557" s="20"/>
      <c r="B557" s="43"/>
      <c r="C557" s="44"/>
      <c r="D557" s="44"/>
      <c r="E557" s="44"/>
      <c r="F557" s="44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3">
      <c r="A558" s="20"/>
      <c r="B558" s="43"/>
      <c r="C558" s="44"/>
      <c r="D558" s="44"/>
      <c r="E558" s="44"/>
      <c r="F558" s="44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3">
      <c r="A559" s="20"/>
      <c r="B559" s="43"/>
      <c r="C559" s="44"/>
      <c r="D559" s="44"/>
      <c r="E559" s="44"/>
      <c r="F559" s="44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3">
      <c r="A560" s="20"/>
      <c r="B560" s="43"/>
      <c r="C560" s="44"/>
      <c r="D560" s="44"/>
      <c r="E560" s="44"/>
      <c r="F560" s="44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3">
      <c r="A561" s="20"/>
      <c r="B561" s="43"/>
      <c r="C561" s="44"/>
      <c r="D561" s="44"/>
      <c r="E561" s="44"/>
      <c r="F561" s="44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3">
      <c r="A562" s="20"/>
      <c r="B562" s="43"/>
      <c r="C562" s="44"/>
      <c r="D562" s="44"/>
      <c r="E562" s="44"/>
      <c r="F562" s="44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3">
      <c r="A563" s="20"/>
      <c r="B563" s="43"/>
      <c r="C563" s="44"/>
      <c r="D563" s="44"/>
      <c r="E563" s="44"/>
      <c r="F563" s="44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3">
      <c r="A564" s="20"/>
      <c r="B564" s="43"/>
      <c r="C564" s="44"/>
      <c r="D564" s="44"/>
      <c r="E564" s="44"/>
      <c r="F564" s="44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3">
      <c r="A565" s="20"/>
      <c r="B565" s="43"/>
      <c r="C565" s="44"/>
      <c r="D565" s="44"/>
      <c r="E565" s="44"/>
      <c r="F565" s="44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3">
      <c r="A566" s="20"/>
      <c r="B566" s="43"/>
      <c r="C566" s="44"/>
      <c r="D566" s="44"/>
      <c r="E566" s="44"/>
      <c r="F566" s="44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3">
      <c r="A567" s="20"/>
      <c r="B567" s="43"/>
      <c r="C567" s="44"/>
      <c r="D567" s="44"/>
      <c r="E567" s="44"/>
      <c r="F567" s="44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3">
      <c r="A568" s="20"/>
      <c r="B568" s="43"/>
      <c r="C568" s="44"/>
      <c r="D568" s="44"/>
      <c r="E568" s="44"/>
      <c r="F568" s="44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3">
      <c r="A569" s="20"/>
      <c r="B569" s="43"/>
      <c r="C569" s="44"/>
      <c r="D569" s="44"/>
      <c r="E569" s="44"/>
      <c r="F569" s="44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3">
      <c r="A570" s="20"/>
      <c r="B570" s="43"/>
      <c r="C570" s="44"/>
      <c r="D570" s="44"/>
      <c r="E570" s="44"/>
      <c r="F570" s="44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3">
      <c r="A571" s="20"/>
      <c r="B571" s="43"/>
      <c r="C571" s="44"/>
      <c r="D571" s="44"/>
      <c r="E571" s="44"/>
      <c r="F571" s="44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3">
      <c r="A572" s="20"/>
      <c r="B572" s="43"/>
      <c r="C572" s="44"/>
      <c r="D572" s="44"/>
      <c r="E572" s="44"/>
      <c r="F572" s="44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3">
      <c r="A573" s="20"/>
      <c r="B573" s="43"/>
      <c r="C573" s="44"/>
      <c r="D573" s="44"/>
      <c r="E573" s="44"/>
      <c r="F573" s="44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3">
      <c r="A574" s="20"/>
      <c r="B574" s="43"/>
      <c r="C574" s="44"/>
      <c r="D574" s="44"/>
      <c r="E574" s="44"/>
      <c r="F574" s="44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3">
      <c r="A575" s="20"/>
      <c r="B575" s="43"/>
      <c r="C575" s="44"/>
      <c r="D575" s="44"/>
      <c r="E575" s="44"/>
      <c r="F575" s="44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3">
      <c r="A576" s="20"/>
      <c r="B576" s="43"/>
      <c r="C576" s="44"/>
      <c r="D576" s="44"/>
      <c r="E576" s="44"/>
      <c r="F576" s="44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3">
      <c r="A577" s="20"/>
      <c r="B577" s="43"/>
      <c r="C577" s="44"/>
      <c r="D577" s="44"/>
      <c r="E577" s="44"/>
      <c r="F577" s="44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3">
      <c r="A578" s="20"/>
      <c r="B578" s="43"/>
      <c r="C578" s="44"/>
      <c r="D578" s="44"/>
      <c r="E578" s="44"/>
      <c r="F578" s="44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3">
      <c r="A579" s="20"/>
      <c r="B579" s="43"/>
      <c r="C579" s="44"/>
      <c r="D579" s="44"/>
      <c r="E579" s="44"/>
      <c r="F579" s="44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3">
      <c r="A580" s="20"/>
      <c r="B580" s="43"/>
      <c r="C580" s="44"/>
      <c r="D580" s="44"/>
      <c r="E580" s="44"/>
      <c r="F580" s="44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3">
      <c r="A581" s="20"/>
      <c r="B581" s="43"/>
      <c r="C581" s="44"/>
      <c r="D581" s="44"/>
      <c r="E581" s="44"/>
      <c r="F581" s="44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3">
      <c r="A582" s="20"/>
      <c r="B582" s="43"/>
      <c r="C582" s="44"/>
      <c r="D582" s="44"/>
      <c r="E582" s="44"/>
      <c r="F582" s="44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3">
      <c r="A583" s="20"/>
      <c r="B583" s="43"/>
      <c r="C583" s="44"/>
      <c r="D583" s="44"/>
      <c r="E583" s="44"/>
      <c r="F583" s="44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3">
      <c r="A584" s="20"/>
      <c r="B584" s="43"/>
      <c r="C584" s="44"/>
      <c r="D584" s="44"/>
      <c r="E584" s="44"/>
      <c r="F584" s="44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3">
      <c r="A585" s="20"/>
      <c r="B585" s="43"/>
      <c r="C585" s="44"/>
      <c r="D585" s="44"/>
      <c r="E585" s="44"/>
      <c r="F585" s="44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3">
      <c r="A586" s="20"/>
      <c r="B586" s="43"/>
      <c r="C586" s="44"/>
      <c r="D586" s="44"/>
      <c r="E586" s="44"/>
      <c r="F586" s="44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3">
      <c r="A587" s="20"/>
      <c r="B587" s="43"/>
      <c r="C587" s="44"/>
      <c r="D587" s="44"/>
      <c r="E587" s="44"/>
      <c r="F587" s="44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3">
      <c r="A588" s="20"/>
      <c r="B588" s="43"/>
      <c r="C588" s="44"/>
      <c r="D588" s="44"/>
      <c r="E588" s="44"/>
      <c r="F588" s="44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3">
      <c r="A589" s="20"/>
      <c r="B589" s="43"/>
      <c r="C589" s="44"/>
      <c r="D589" s="44"/>
      <c r="E589" s="44"/>
      <c r="F589" s="44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3">
      <c r="A590" s="20"/>
      <c r="B590" s="43"/>
      <c r="C590" s="44"/>
      <c r="D590" s="44"/>
      <c r="E590" s="44"/>
      <c r="F590" s="44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3">
      <c r="A591" s="20"/>
      <c r="B591" s="43"/>
      <c r="C591" s="44"/>
      <c r="D591" s="44"/>
      <c r="E591" s="44"/>
      <c r="F591" s="44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3">
      <c r="A592" s="20"/>
      <c r="B592" s="43"/>
      <c r="C592" s="44"/>
      <c r="D592" s="44"/>
      <c r="E592" s="44"/>
      <c r="F592" s="44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3">
      <c r="A593" s="20"/>
      <c r="B593" s="43"/>
      <c r="C593" s="44"/>
      <c r="D593" s="44"/>
      <c r="E593" s="44"/>
      <c r="F593" s="44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3">
      <c r="A594" s="20"/>
      <c r="B594" s="43"/>
      <c r="C594" s="44"/>
      <c r="D594" s="44"/>
      <c r="E594" s="44"/>
      <c r="F594" s="44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3">
      <c r="A595" s="20"/>
      <c r="B595" s="43"/>
      <c r="C595" s="44"/>
      <c r="D595" s="44"/>
      <c r="E595" s="44"/>
      <c r="F595" s="44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3">
      <c r="A596" s="20"/>
      <c r="B596" s="43"/>
      <c r="C596" s="44"/>
      <c r="D596" s="44"/>
      <c r="E596" s="44"/>
      <c r="F596" s="44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3">
      <c r="A597" s="20"/>
      <c r="B597" s="43"/>
      <c r="C597" s="44"/>
      <c r="D597" s="44"/>
      <c r="E597" s="44"/>
      <c r="F597" s="44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3">
      <c r="A598" s="20"/>
      <c r="B598" s="43"/>
      <c r="C598" s="44"/>
      <c r="D598" s="44"/>
      <c r="E598" s="44"/>
      <c r="F598" s="44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3">
      <c r="A599" s="20"/>
      <c r="B599" s="43"/>
      <c r="C599" s="44"/>
      <c r="D599" s="44"/>
      <c r="E599" s="44"/>
      <c r="F599" s="44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3">
      <c r="A600" s="20"/>
      <c r="B600" s="43"/>
      <c r="C600" s="44"/>
      <c r="D600" s="44"/>
      <c r="E600" s="44"/>
      <c r="F600" s="44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3">
      <c r="A601" s="20"/>
      <c r="B601" s="43"/>
      <c r="C601" s="44"/>
      <c r="D601" s="44"/>
      <c r="E601" s="44"/>
      <c r="F601" s="44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3">
      <c r="A602" s="20"/>
      <c r="B602" s="43"/>
      <c r="C602" s="44"/>
      <c r="D602" s="44"/>
      <c r="E602" s="44"/>
      <c r="F602" s="44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3">
      <c r="A603" s="20"/>
      <c r="B603" s="43"/>
      <c r="C603" s="44"/>
      <c r="D603" s="44"/>
      <c r="E603" s="44"/>
      <c r="F603" s="44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3">
      <c r="A604" s="20"/>
      <c r="B604" s="43"/>
      <c r="C604" s="44"/>
      <c r="D604" s="44"/>
      <c r="E604" s="44"/>
      <c r="F604" s="44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3">
      <c r="A605" s="20"/>
      <c r="B605" s="43"/>
      <c r="C605" s="44"/>
      <c r="D605" s="44"/>
      <c r="E605" s="44"/>
      <c r="F605" s="44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3">
      <c r="A606" s="20"/>
      <c r="B606" s="43"/>
      <c r="C606" s="44"/>
      <c r="D606" s="44"/>
      <c r="E606" s="44"/>
      <c r="F606" s="44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3">
      <c r="A607" s="20"/>
      <c r="B607" s="43"/>
      <c r="C607" s="44"/>
      <c r="D607" s="44"/>
      <c r="E607" s="44"/>
      <c r="F607" s="44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3">
      <c r="A608" s="20"/>
      <c r="B608" s="43"/>
      <c r="C608" s="44"/>
      <c r="D608" s="44"/>
      <c r="E608" s="44"/>
      <c r="F608" s="44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3">
      <c r="A609" s="20"/>
      <c r="B609" s="43"/>
      <c r="C609" s="44"/>
      <c r="D609" s="44"/>
      <c r="E609" s="44"/>
      <c r="F609" s="44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3">
      <c r="A610" s="20"/>
      <c r="B610" s="43"/>
      <c r="C610" s="44"/>
      <c r="D610" s="44"/>
      <c r="E610" s="44"/>
      <c r="F610" s="44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3">
      <c r="A611" s="20"/>
      <c r="B611" s="43"/>
      <c r="C611" s="44"/>
      <c r="D611" s="44"/>
      <c r="E611" s="44"/>
      <c r="F611" s="44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3">
      <c r="A612" s="20"/>
      <c r="B612" s="43"/>
      <c r="C612" s="44"/>
      <c r="D612" s="44"/>
      <c r="E612" s="44"/>
      <c r="F612" s="44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3">
      <c r="A613" s="20"/>
      <c r="B613" s="43"/>
      <c r="C613" s="44"/>
      <c r="D613" s="44"/>
      <c r="E613" s="44"/>
      <c r="F613" s="44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3">
      <c r="A614" s="20"/>
      <c r="B614" s="43"/>
      <c r="C614" s="44"/>
      <c r="D614" s="44"/>
      <c r="E614" s="44"/>
      <c r="F614" s="44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3">
      <c r="A615" s="20"/>
      <c r="B615" s="43"/>
      <c r="C615" s="44"/>
      <c r="D615" s="44"/>
      <c r="E615" s="44"/>
      <c r="F615" s="44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3">
      <c r="A616" s="20"/>
      <c r="B616" s="43"/>
      <c r="C616" s="44"/>
      <c r="D616" s="44"/>
      <c r="E616" s="44"/>
      <c r="F616" s="44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3">
      <c r="A617" s="20"/>
      <c r="B617" s="43"/>
      <c r="C617" s="44"/>
      <c r="D617" s="44"/>
      <c r="E617" s="44"/>
      <c r="F617" s="44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3">
      <c r="A618" s="20"/>
      <c r="B618" s="43"/>
      <c r="C618" s="44"/>
      <c r="D618" s="44"/>
      <c r="E618" s="44"/>
      <c r="F618" s="44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3">
      <c r="A619" s="20"/>
      <c r="B619" s="43"/>
      <c r="C619" s="44"/>
      <c r="D619" s="44"/>
      <c r="E619" s="44"/>
      <c r="F619" s="44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3">
      <c r="A620" s="20"/>
      <c r="B620" s="43"/>
      <c r="C620" s="44"/>
      <c r="D620" s="44"/>
      <c r="E620" s="44"/>
      <c r="F620" s="44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3">
      <c r="A621" s="20"/>
      <c r="B621" s="43"/>
      <c r="C621" s="44"/>
      <c r="D621" s="44"/>
      <c r="E621" s="44"/>
      <c r="F621" s="44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3">
      <c r="A622" s="20"/>
      <c r="B622" s="43"/>
      <c r="C622" s="44"/>
      <c r="D622" s="44"/>
      <c r="E622" s="44"/>
      <c r="F622" s="44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3">
      <c r="A623" s="20"/>
      <c r="B623" s="43"/>
      <c r="C623" s="44"/>
      <c r="D623" s="44"/>
      <c r="E623" s="44"/>
      <c r="F623" s="44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3">
      <c r="A624" s="20"/>
      <c r="B624" s="43"/>
      <c r="C624" s="44"/>
      <c r="D624" s="44"/>
      <c r="E624" s="44"/>
      <c r="F624" s="44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3">
      <c r="A625" s="20"/>
      <c r="B625" s="43"/>
      <c r="C625" s="44"/>
      <c r="D625" s="44"/>
      <c r="E625" s="44"/>
      <c r="F625" s="44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3">
      <c r="A626" s="20"/>
      <c r="B626" s="43"/>
      <c r="C626" s="44"/>
      <c r="D626" s="44"/>
      <c r="E626" s="44"/>
      <c r="F626" s="44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3">
      <c r="A627" s="20"/>
      <c r="B627" s="43"/>
      <c r="C627" s="44"/>
      <c r="D627" s="44"/>
      <c r="E627" s="44"/>
      <c r="F627" s="44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3">
      <c r="A628" s="20"/>
      <c r="B628" s="43"/>
      <c r="C628" s="44"/>
      <c r="D628" s="44"/>
      <c r="E628" s="44"/>
      <c r="F628" s="44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3">
      <c r="A629" s="20"/>
      <c r="B629" s="43"/>
      <c r="C629" s="44"/>
      <c r="D629" s="44"/>
      <c r="E629" s="44"/>
      <c r="F629" s="44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3">
      <c r="A630" s="20"/>
      <c r="B630" s="43"/>
      <c r="C630" s="44"/>
      <c r="D630" s="44"/>
      <c r="E630" s="44"/>
      <c r="F630" s="44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3">
      <c r="A631" s="20"/>
      <c r="B631" s="43"/>
      <c r="C631" s="44"/>
      <c r="D631" s="44"/>
      <c r="E631" s="44"/>
      <c r="F631" s="44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3">
      <c r="A632" s="20"/>
      <c r="B632" s="43"/>
      <c r="C632" s="44"/>
      <c r="D632" s="44"/>
      <c r="E632" s="44"/>
      <c r="F632" s="44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3">
      <c r="A633" s="20"/>
      <c r="B633" s="43"/>
      <c r="C633" s="44"/>
      <c r="D633" s="44"/>
      <c r="E633" s="44"/>
      <c r="F633" s="44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3">
      <c r="A634" s="20"/>
      <c r="B634" s="43"/>
      <c r="C634" s="44"/>
      <c r="D634" s="44"/>
      <c r="E634" s="44"/>
      <c r="F634" s="44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3">
      <c r="A635" s="20"/>
      <c r="B635" s="43"/>
      <c r="C635" s="44"/>
      <c r="D635" s="44"/>
      <c r="E635" s="44"/>
      <c r="F635" s="44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3">
      <c r="A636" s="20"/>
      <c r="B636" s="43"/>
      <c r="C636" s="44"/>
      <c r="D636" s="44"/>
      <c r="E636" s="44"/>
      <c r="F636" s="44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3">
      <c r="A637" s="20"/>
      <c r="B637" s="43"/>
      <c r="C637" s="44"/>
      <c r="D637" s="44"/>
      <c r="E637" s="44"/>
      <c r="F637" s="44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3">
      <c r="A638" s="20"/>
      <c r="B638" s="43"/>
      <c r="C638" s="44"/>
      <c r="D638" s="44"/>
      <c r="E638" s="44"/>
      <c r="F638" s="44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3">
      <c r="A639" s="20"/>
      <c r="B639" s="43"/>
      <c r="C639" s="44"/>
      <c r="D639" s="44"/>
      <c r="E639" s="44"/>
      <c r="F639" s="44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3">
      <c r="A640" s="20"/>
      <c r="B640" s="43"/>
      <c r="C640" s="44"/>
      <c r="D640" s="44"/>
      <c r="E640" s="44"/>
      <c r="F640" s="44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3">
      <c r="A641" s="20"/>
      <c r="B641" s="43"/>
      <c r="C641" s="44"/>
      <c r="D641" s="44"/>
      <c r="E641" s="44"/>
      <c r="F641" s="44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3">
      <c r="A642" s="20"/>
      <c r="B642" s="43"/>
      <c r="C642" s="44"/>
      <c r="D642" s="44"/>
      <c r="E642" s="44"/>
      <c r="F642" s="44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3">
      <c r="A643" s="20"/>
      <c r="B643" s="43"/>
      <c r="C643" s="44"/>
      <c r="D643" s="44"/>
      <c r="E643" s="44"/>
      <c r="F643" s="44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3">
      <c r="A644" s="20"/>
      <c r="B644" s="43"/>
      <c r="C644" s="44"/>
      <c r="D644" s="44"/>
      <c r="E644" s="44"/>
      <c r="F644" s="44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3">
      <c r="A645" s="20"/>
      <c r="B645" s="43"/>
      <c r="C645" s="44"/>
      <c r="D645" s="44"/>
      <c r="E645" s="44"/>
      <c r="F645" s="44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3">
      <c r="A646" s="20"/>
      <c r="B646" s="43"/>
      <c r="C646" s="44"/>
      <c r="D646" s="44"/>
      <c r="E646" s="44"/>
      <c r="F646" s="44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3">
      <c r="A647" s="20"/>
      <c r="B647" s="43"/>
      <c r="C647" s="44"/>
      <c r="D647" s="44"/>
      <c r="E647" s="44"/>
      <c r="F647" s="44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3">
      <c r="A648" s="20"/>
      <c r="B648" s="43"/>
      <c r="C648" s="44"/>
      <c r="D648" s="44"/>
      <c r="E648" s="44"/>
      <c r="F648" s="44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3">
      <c r="A649" s="20"/>
      <c r="B649" s="43"/>
      <c r="C649" s="44"/>
      <c r="D649" s="44"/>
      <c r="E649" s="44"/>
      <c r="F649" s="44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3">
      <c r="A650" s="20"/>
      <c r="B650" s="43"/>
      <c r="C650" s="44"/>
      <c r="D650" s="44"/>
      <c r="E650" s="44"/>
      <c r="F650" s="44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3">
      <c r="A651" s="20"/>
      <c r="B651" s="43"/>
      <c r="C651" s="44"/>
      <c r="D651" s="44"/>
      <c r="E651" s="44"/>
      <c r="F651" s="44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3">
      <c r="A652" s="20"/>
      <c r="B652" s="43"/>
      <c r="C652" s="44"/>
      <c r="D652" s="44"/>
      <c r="E652" s="44"/>
      <c r="F652" s="44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3">
      <c r="A653" s="20"/>
      <c r="B653" s="43"/>
      <c r="C653" s="44"/>
      <c r="D653" s="44"/>
      <c r="E653" s="44"/>
      <c r="F653" s="44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3">
      <c r="A654" s="20"/>
      <c r="B654" s="43"/>
      <c r="C654" s="44"/>
      <c r="D654" s="44"/>
      <c r="E654" s="44"/>
      <c r="F654" s="44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3">
      <c r="A655" s="20"/>
      <c r="B655" s="43"/>
      <c r="C655" s="44"/>
      <c r="D655" s="44"/>
      <c r="E655" s="44"/>
      <c r="F655" s="44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3">
      <c r="A656" s="20"/>
      <c r="B656" s="43"/>
      <c r="C656" s="44"/>
      <c r="D656" s="44"/>
      <c r="E656" s="44"/>
      <c r="F656" s="44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3">
      <c r="A657" s="20"/>
      <c r="B657" s="43"/>
      <c r="C657" s="44"/>
      <c r="D657" s="44"/>
      <c r="E657" s="44"/>
      <c r="F657" s="44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3">
      <c r="A658" s="20"/>
      <c r="B658" s="43"/>
      <c r="C658" s="44"/>
      <c r="D658" s="44"/>
      <c r="E658" s="44"/>
      <c r="F658" s="44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3">
      <c r="A659" s="20"/>
      <c r="B659" s="43"/>
      <c r="C659" s="44"/>
      <c r="D659" s="44"/>
      <c r="E659" s="44"/>
      <c r="F659" s="44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3">
      <c r="A660" s="20"/>
      <c r="B660" s="43"/>
      <c r="C660" s="44"/>
      <c r="D660" s="44"/>
      <c r="E660" s="44"/>
      <c r="F660" s="44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3">
      <c r="A661" s="20"/>
      <c r="B661" s="43"/>
      <c r="C661" s="44"/>
      <c r="D661" s="44"/>
      <c r="E661" s="44"/>
      <c r="F661" s="44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3">
      <c r="A662" s="20"/>
      <c r="B662" s="43"/>
      <c r="C662" s="44"/>
      <c r="D662" s="44"/>
      <c r="E662" s="44"/>
      <c r="F662" s="44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3">
      <c r="A663" s="20"/>
      <c r="B663" s="43"/>
      <c r="C663" s="44"/>
      <c r="D663" s="44"/>
      <c r="E663" s="44"/>
      <c r="F663" s="44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3">
      <c r="A664" s="20"/>
      <c r="B664" s="43"/>
      <c r="C664" s="44"/>
      <c r="D664" s="44"/>
      <c r="E664" s="44"/>
      <c r="F664" s="44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3">
      <c r="A665" s="20"/>
      <c r="B665" s="43"/>
      <c r="C665" s="44"/>
      <c r="D665" s="44"/>
      <c r="E665" s="44"/>
      <c r="F665" s="44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3">
      <c r="A666" s="20"/>
      <c r="B666" s="43"/>
      <c r="C666" s="44"/>
      <c r="D666" s="44"/>
      <c r="E666" s="44"/>
      <c r="F666" s="44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3">
      <c r="A667" s="20"/>
      <c r="B667" s="43"/>
      <c r="C667" s="44"/>
      <c r="D667" s="44"/>
      <c r="E667" s="44"/>
      <c r="F667" s="44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3">
      <c r="A668" s="20"/>
      <c r="B668" s="43"/>
      <c r="C668" s="44"/>
      <c r="D668" s="44"/>
      <c r="E668" s="44"/>
      <c r="F668" s="44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3">
      <c r="A669" s="20"/>
      <c r="B669" s="43"/>
      <c r="C669" s="44"/>
      <c r="D669" s="44"/>
      <c r="E669" s="44"/>
      <c r="F669" s="44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3">
      <c r="A670" s="20"/>
      <c r="B670" s="43"/>
      <c r="C670" s="44"/>
      <c r="D670" s="44"/>
      <c r="E670" s="44"/>
      <c r="F670" s="44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3">
      <c r="A671" s="20"/>
      <c r="B671" s="43"/>
      <c r="C671" s="44"/>
      <c r="D671" s="44"/>
      <c r="E671" s="44"/>
      <c r="F671" s="44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3">
      <c r="A672" s="20"/>
      <c r="B672" s="43"/>
      <c r="C672" s="44"/>
      <c r="D672" s="44"/>
      <c r="E672" s="44"/>
      <c r="F672" s="44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3">
      <c r="A673" s="20"/>
      <c r="B673" s="43"/>
      <c r="C673" s="44"/>
      <c r="D673" s="44"/>
      <c r="E673" s="44"/>
      <c r="F673" s="44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3">
      <c r="A674" s="20"/>
      <c r="B674" s="43"/>
      <c r="C674" s="44"/>
      <c r="D674" s="44"/>
      <c r="E674" s="44"/>
      <c r="F674" s="44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3">
      <c r="A675" s="20"/>
      <c r="B675" s="43"/>
      <c r="C675" s="44"/>
      <c r="D675" s="44"/>
      <c r="E675" s="44"/>
      <c r="F675" s="44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3">
      <c r="A676" s="20"/>
      <c r="B676" s="43"/>
      <c r="C676" s="44"/>
      <c r="D676" s="44"/>
      <c r="E676" s="44"/>
      <c r="F676" s="44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3">
      <c r="A677" s="20"/>
      <c r="B677" s="43"/>
      <c r="C677" s="44"/>
      <c r="D677" s="44"/>
      <c r="E677" s="44"/>
      <c r="F677" s="44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3">
      <c r="A678" s="20"/>
      <c r="B678" s="43"/>
      <c r="C678" s="44"/>
      <c r="D678" s="44"/>
      <c r="E678" s="44"/>
      <c r="F678" s="44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3">
      <c r="A679" s="20"/>
      <c r="B679" s="43"/>
      <c r="C679" s="44"/>
      <c r="D679" s="44"/>
      <c r="E679" s="44"/>
      <c r="F679" s="44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3">
      <c r="A680" s="20"/>
      <c r="B680" s="43"/>
      <c r="C680" s="44"/>
      <c r="D680" s="44"/>
      <c r="E680" s="44"/>
      <c r="F680" s="44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3">
      <c r="A681" s="20"/>
      <c r="B681" s="43"/>
      <c r="C681" s="44"/>
      <c r="D681" s="44"/>
      <c r="E681" s="44"/>
      <c r="F681" s="44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3">
      <c r="A682" s="20"/>
      <c r="B682" s="43"/>
      <c r="C682" s="44"/>
      <c r="D682" s="44"/>
      <c r="E682" s="44"/>
      <c r="F682" s="44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3">
      <c r="A683" s="20"/>
      <c r="B683" s="43"/>
      <c r="C683" s="44"/>
      <c r="D683" s="44"/>
      <c r="E683" s="44"/>
      <c r="F683" s="44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3">
      <c r="A684" s="20"/>
      <c r="B684" s="43"/>
      <c r="C684" s="44"/>
      <c r="D684" s="44"/>
      <c r="E684" s="44"/>
      <c r="F684" s="44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3">
      <c r="A685" s="20"/>
      <c r="B685" s="43"/>
      <c r="C685" s="44"/>
      <c r="D685" s="44"/>
      <c r="E685" s="44"/>
      <c r="F685" s="44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3">
      <c r="A686" s="20"/>
      <c r="B686" s="43"/>
      <c r="C686" s="44"/>
      <c r="D686" s="44"/>
      <c r="E686" s="44"/>
      <c r="F686" s="44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3">
      <c r="A687" s="20"/>
      <c r="B687" s="43"/>
      <c r="C687" s="44"/>
      <c r="D687" s="44"/>
      <c r="E687" s="44"/>
      <c r="F687" s="44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3">
      <c r="A688" s="20"/>
      <c r="B688" s="43"/>
      <c r="C688" s="44"/>
      <c r="D688" s="44"/>
      <c r="E688" s="44"/>
      <c r="F688" s="44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3">
      <c r="A689" s="20"/>
      <c r="B689" s="43"/>
      <c r="C689" s="44"/>
      <c r="D689" s="44"/>
      <c r="E689" s="44"/>
      <c r="F689" s="44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3">
      <c r="A690" s="20"/>
      <c r="B690" s="43"/>
      <c r="C690" s="44"/>
      <c r="D690" s="44"/>
      <c r="E690" s="44"/>
      <c r="F690" s="44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3">
      <c r="A691" s="20"/>
      <c r="B691" s="43"/>
      <c r="C691" s="44"/>
      <c r="D691" s="44"/>
      <c r="E691" s="44"/>
      <c r="F691" s="44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3">
      <c r="A692" s="20"/>
      <c r="B692" s="43"/>
      <c r="C692" s="44"/>
      <c r="D692" s="44"/>
      <c r="E692" s="44"/>
      <c r="F692" s="44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3">
      <c r="A693" s="20"/>
      <c r="B693" s="43"/>
      <c r="C693" s="44"/>
      <c r="D693" s="44"/>
      <c r="E693" s="44"/>
      <c r="F693" s="44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3">
      <c r="A694" s="20"/>
      <c r="B694" s="43"/>
      <c r="C694" s="44"/>
      <c r="D694" s="44"/>
      <c r="E694" s="44"/>
      <c r="F694" s="44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3">
      <c r="A695" s="20"/>
      <c r="B695" s="43"/>
      <c r="C695" s="44"/>
      <c r="D695" s="44"/>
      <c r="E695" s="44"/>
      <c r="F695" s="44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3">
      <c r="A696" s="20"/>
      <c r="B696" s="43"/>
      <c r="C696" s="44"/>
      <c r="D696" s="44"/>
      <c r="E696" s="44"/>
      <c r="F696" s="44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3">
      <c r="A697" s="20"/>
      <c r="B697" s="43"/>
      <c r="C697" s="44"/>
      <c r="D697" s="44"/>
      <c r="E697" s="44"/>
      <c r="F697" s="44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3">
      <c r="A698" s="20"/>
      <c r="B698" s="43"/>
      <c r="C698" s="44"/>
      <c r="D698" s="44"/>
      <c r="E698" s="44"/>
      <c r="F698" s="44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3">
      <c r="A699" s="20"/>
      <c r="B699" s="43"/>
      <c r="C699" s="44"/>
      <c r="D699" s="44"/>
      <c r="E699" s="44"/>
      <c r="F699" s="44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3">
      <c r="A700" s="20"/>
      <c r="B700" s="43"/>
      <c r="C700" s="44"/>
      <c r="D700" s="44"/>
      <c r="E700" s="44"/>
      <c r="F700" s="44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3">
      <c r="A701" s="20"/>
      <c r="B701" s="43"/>
      <c r="C701" s="44"/>
      <c r="D701" s="44"/>
      <c r="E701" s="44"/>
      <c r="F701" s="44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3">
      <c r="A702" s="20"/>
      <c r="B702" s="43"/>
      <c r="C702" s="44"/>
      <c r="D702" s="44"/>
      <c r="E702" s="44"/>
      <c r="F702" s="44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3">
      <c r="A703" s="20"/>
      <c r="B703" s="43"/>
      <c r="C703" s="44"/>
      <c r="D703" s="44"/>
      <c r="E703" s="44"/>
      <c r="F703" s="44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3">
      <c r="A704" s="20"/>
      <c r="B704" s="43"/>
      <c r="C704" s="44"/>
      <c r="D704" s="44"/>
      <c r="E704" s="44"/>
      <c r="F704" s="44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3">
      <c r="A705" s="20"/>
      <c r="B705" s="43"/>
      <c r="C705" s="44"/>
      <c r="D705" s="44"/>
      <c r="E705" s="44"/>
      <c r="F705" s="44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3">
      <c r="A706" s="20"/>
      <c r="B706" s="43"/>
      <c r="C706" s="44"/>
      <c r="D706" s="44"/>
      <c r="E706" s="44"/>
      <c r="F706" s="44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3">
      <c r="A707" s="20"/>
      <c r="B707" s="43"/>
      <c r="C707" s="44"/>
      <c r="D707" s="44"/>
      <c r="E707" s="44"/>
      <c r="F707" s="44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3">
      <c r="A708" s="20"/>
      <c r="B708" s="43"/>
      <c r="C708" s="44"/>
      <c r="D708" s="44"/>
      <c r="E708" s="44"/>
      <c r="F708" s="44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3">
      <c r="A709" s="20"/>
      <c r="B709" s="43"/>
      <c r="C709" s="44"/>
      <c r="D709" s="44"/>
      <c r="E709" s="44"/>
      <c r="F709" s="44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3">
      <c r="A710" s="20"/>
      <c r="B710" s="43"/>
      <c r="C710" s="44"/>
      <c r="D710" s="44"/>
      <c r="E710" s="44"/>
      <c r="F710" s="44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3">
      <c r="A711" s="20"/>
      <c r="B711" s="43"/>
      <c r="C711" s="44"/>
      <c r="D711" s="44"/>
      <c r="E711" s="44"/>
      <c r="F711" s="44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3">
      <c r="A712" s="20"/>
      <c r="B712" s="43"/>
      <c r="C712" s="44"/>
      <c r="D712" s="44"/>
      <c r="E712" s="44"/>
      <c r="F712" s="44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3">
      <c r="A713" s="20"/>
      <c r="B713" s="43"/>
      <c r="C713" s="44"/>
      <c r="D713" s="44"/>
      <c r="E713" s="44"/>
      <c r="F713" s="44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3">
      <c r="A714" s="20"/>
      <c r="B714" s="43"/>
      <c r="C714" s="44"/>
      <c r="D714" s="44"/>
      <c r="E714" s="44"/>
      <c r="F714" s="44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3">
      <c r="A715" s="20"/>
      <c r="B715" s="43"/>
      <c r="C715" s="44"/>
      <c r="D715" s="44"/>
      <c r="E715" s="44"/>
      <c r="F715" s="44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3">
      <c r="A716" s="20"/>
      <c r="B716" s="43"/>
      <c r="C716" s="44"/>
      <c r="D716" s="44"/>
      <c r="E716" s="44"/>
      <c r="F716" s="44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3">
      <c r="A717" s="20"/>
      <c r="B717" s="43"/>
      <c r="C717" s="44"/>
      <c r="D717" s="44"/>
      <c r="E717" s="44"/>
      <c r="F717" s="44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3">
      <c r="A718" s="20"/>
      <c r="B718" s="43"/>
      <c r="C718" s="44"/>
      <c r="D718" s="44"/>
      <c r="E718" s="44"/>
      <c r="F718" s="44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3">
      <c r="A719" s="20"/>
      <c r="B719" s="43"/>
      <c r="C719" s="44"/>
      <c r="D719" s="44"/>
      <c r="E719" s="44"/>
      <c r="F719" s="44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3">
      <c r="A720" s="20"/>
      <c r="B720" s="43"/>
      <c r="C720" s="44"/>
      <c r="D720" s="44"/>
      <c r="E720" s="44"/>
      <c r="F720" s="44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3">
      <c r="A721" s="20"/>
      <c r="B721" s="43"/>
      <c r="C721" s="44"/>
      <c r="D721" s="44"/>
      <c r="E721" s="44"/>
      <c r="F721" s="44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3">
      <c r="A722" s="20"/>
      <c r="B722" s="43"/>
      <c r="C722" s="44"/>
      <c r="D722" s="44"/>
      <c r="E722" s="44"/>
      <c r="F722" s="44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3">
      <c r="A723" s="20"/>
      <c r="B723" s="43"/>
      <c r="C723" s="44"/>
      <c r="D723" s="44"/>
      <c r="E723" s="44"/>
      <c r="F723" s="44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3">
      <c r="A724" s="20"/>
      <c r="B724" s="43"/>
      <c r="C724" s="44"/>
      <c r="D724" s="44"/>
      <c r="E724" s="44"/>
      <c r="F724" s="44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3">
      <c r="A725" s="20"/>
      <c r="B725" s="43"/>
      <c r="C725" s="44"/>
      <c r="D725" s="44"/>
      <c r="E725" s="44"/>
      <c r="F725" s="44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3">
      <c r="A726" s="20"/>
      <c r="B726" s="43"/>
      <c r="C726" s="44"/>
      <c r="D726" s="44"/>
      <c r="E726" s="44"/>
      <c r="F726" s="44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3">
      <c r="A727" s="20"/>
      <c r="B727" s="43"/>
      <c r="C727" s="44"/>
      <c r="D727" s="44"/>
      <c r="E727" s="44"/>
      <c r="F727" s="44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3">
      <c r="A728" s="20"/>
      <c r="B728" s="43"/>
      <c r="C728" s="44"/>
      <c r="D728" s="44"/>
      <c r="E728" s="44"/>
      <c r="F728" s="44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3">
      <c r="A729" s="20"/>
      <c r="B729" s="43"/>
      <c r="C729" s="44"/>
      <c r="D729" s="44"/>
      <c r="E729" s="44"/>
      <c r="F729" s="44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3">
      <c r="A730" s="20"/>
      <c r="B730" s="43"/>
      <c r="C730" s="44"/>
      <c r="D730" s="44"/>
      <c r="E730" s="44"/>
      <c r="F730" s="44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3">
      <c r="A731" s="20"/>
      <c r="B731" s="43"/>
      <c r="C731" s="44"/>
      <c r="D731" s="44"/>
      <c r="E731" s="44"/>
      <c r="F731" s="44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3">
      <c r="A732" s="20"/>
      <c r="B732" s="43"/>
      <c r="C732" s="44"/>
      <c r="D732" s="44"/>
      <c r="E732" s="44"/>
      <c r="F732" s="44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3">
      <c r="A733" s="20"/>
      <c r="B733" s="43"/>
      <c r="C733" s="44"/>
      <c r="D733" s="44"/>
      <c r="E733" s="44"/>
      <c r="F733" s="44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3">
      <c r="A734" s="20"/>
      <c r="B734" s="43"/>
      <c r="C734" s="44"/>
      <c r="D734" s="44"/>
      <c r="E734" s="44"/>
      <c r="F734" s="44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3">
      <c r="A735" s="20"/>
      <c r="B735" s="43"/>
      <c r="C735" s="44"/>
      <c r="D735" s="44"/>
      <c r="E735" s="44"/>
      <c r="F735" s="44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3">
      <c r="A736" s="20"/>
      <c r="B736" s="43"/>
      <c r="C736" s="44"/>
      <c r="D736" s="44"/>
      <c r="E736" s="44"/>
      <c r="F736" s="44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3">
      <c r="A737" s="20"/>
      <c r="B737" s="43"/>
      <c r="C737" s="44"/>
      <c r="D737" s="44"/>
      <c r="E737" s="44"/>
      <c r="F737" s="44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3">
      <c r="A738" s="20"/>
      <c r="B738" s="43"/>
      <c r="C738" s="44"/>
      <c r="D738" s="44"/>
      <c r="E738" s="44"/>
      <c r="F738" s="44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3">
      <c r="A739" s="20"/>
      <c r="B739" s="43"/>
      <c r="C739" s="44"/>
      <c r="D739" s="44"/>
      <c r="E739" s="44"/>
      <c r="F739" s="44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3">
      <c r="A740" s="20"/>
      <c r="B740" s="43"/>
      <c r="C740" s="44"/>
      <c r="D740" s="44"/>
      <c r="E740" s="44"/>
      <c r="F740" s="44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3">
      <c r="A741" s="20"/>
      <c r="B741" s="43"/>
      <c r="C741" s="44"/>
      <c r="D741" s="44"/>
      <c r="E741" s="44"/>
      <c r="F741" s="44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3">
      <c r="A742" s="20"/>
      <c r="B742" s="43"/>
      <c r="C742" s="44"/>
      <c r="D742" s="44"/>
      <c r="E742" s="44"/>
      <c r="F742" s="44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3">
      <c r="A743" s="20"/>
      <c r="B743" s="43"/>
      <c r="C743" s="44"/>
      <c r="D743" s="44"/>
      <c r="E743" s="44"/>
      <c r="F743" s="44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3">
      <c r="A744" s="20"/>
      <c r="B744" s="43"/>
      <c r="C744" s="44"/>
      <c r="D744" s="44"/>
      <c r="E744" s="44"/>
      <c r="F744" s="44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3">
      <c r="A745" s="20"/>
      <c r="B745" s="43"/>
      <c r="C745" s="44"/>
      <c r="D745" s="44"/>
      <c r="E745" s="44"/>
      <c r="F745" s="44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3">
      <c r="A746" s="20"/>
      <c r="B746" s="43"/>
      <c r="C746" s="44"/>
      <c r="D746" s="44"/>
      <c r="E746" s="44"/>
      <c r="F746" s="44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3">
      <c r="A747" s="20"/>
      <c r="B747" s="43"/>
      <c r="C747" s="44"/>
      <c r="D747" s="44"/>
      <c r="E747" s="44"/>
      <c r="F747" s="44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3">
      <c r="A748" s="20"/>
      <c r="B748" s="43"/>
      <c r="C748" s="44"/>
      <c r="D748" s="44"/>
      <c r="E748" s="44"/>
      <c r="F748" s="44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3">
      <c r="A749" s="20"/>
      <c r="B749" s="43"/>
      <c r="C749" s="44"/>
      <c r="D749" s="44"/>
      <c r="E749" s="44"/>
      <c r="F749" s="44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3">
      <c r="A750" s="20"/>
      <c r="B750" s="43"/>
      <c r="C750" s="44"/>
      <c r="D750" s="44"/>
      <c r="E750" s="44"/>
      <c r="F750" s="44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3">
      <c r="A751" s="20"/>
      <c r="B751" s="43"/>
      <c r="C751" s="44"/>
      <c r="D751" s="44"/>
      <c r="E751" s="44"/>
      <c r="F751" s="44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3">
      <c r="A752" s="20"/>
      <c r="B752" s="43"/>
      <c r="C752" s="44"/>
      <c r="D752" s="44"/>
      <c r="E752" s="44"/>
      <c r="F752" s="44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3">
      <c r="A753" s="20"/>
      <c r="B753" s="43"/>
      <c r="C753" s="44"/>
      <c r="D753" s="44"/>
      <c r="E753" s="44"/>
      <c r="F753" s="44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3">
      <c r="A754" s="20"/>
      <c r="B754" s="43"/>
      <c r="C754" s="44"/>
      <c r="D754" s="44"/>
      <c r="E754" s="44"/>
      <c r="F754" s="44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3">
      <c r="A755" s="20"/>
      <c r="B755" s="43"/>
      <c r="C755" s="44"/>
      <c r="D755" s="44"/>
      <c r="E755" s="44"/>
      <c r="F755" s="44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3">
      <c r="A756" s="20"/>
      <c r="B756" s="43"/>
      <c r="C756" s="44"/>
      <c r="D756" s="44"/>
      <c r="E756" s="44"/>
      <c r="F756" s="44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3">
      <c r="A757" s="20"/>
      <c r="B757" s="43"/>
      <c r="C757" s="44"/>
      <c r="D757" s="44"/>
      <c r="E757" s="44"/>
      <c r="F757" s="44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3">
      <c r="A758" s="20"/>
      <c r="B758" s="43"/>
      <c r="C758" s="44"/>
      <c r="D758" s="44"/>
      <c r="E758" s="44"/>
      <c r="F758" s="44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3">
      <c r="A759" s="20"/>
      <c r="B759" s="43"/>
      <c r="C759" s="44"/>
      <c r="D759" s="44"/>
      <c r="E759" s="44"/>
      <c r="F759" s="44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3">
      <c r="A760" s="20"/>
      <c r="B760" s="43"/>
      <c r="C760" s="44"/>
      <c r="D760" s="44"/>
      <c r="E760" s="44"/>
      <c r="F760" s="44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3">
      <c r="A761" s="20"/>
      <c r="B761" s="43"/>
      <c r="C761" s="44"/>
      <c r="D761" s="44"/>
      <c r="E761" s="44"/>
      <c r="F761" s="44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3">
      <c r="A762" s="20"/>
      <c r="B762" s="43"/>
      <c r="C762" s="44"/>
      <c r="D762" s="44"/>
      <c r="E762" s="44"/>
      <c r="F762" s="44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3">
      <c r="A763" s="20"/>
      <c r="B763" s="43"/>
      <c r="C763" s="44"/>
      <c r="D763" s="44"/>
      <c r="E763" s="44"/>
      <c r="F763" s="44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3">
      <c r="A764" s="20"/>
      <c r="B764" s="43"/>
      <c r="C764" s="44"/>
      <c r="D764" s="44"/>
      <c r="E764" s="44"/>
      <c r="F764" s="44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3">
      <c r="A765" s="20"/>
      <c r="B765" s="43"/>
      <c r="C765" s="44"/>
      <c r="D765" s="44"/>
      <c r="E765" s="44"/>
      <c r="F765" s="44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3">
      <c r="A766" s="20"/>
      <c r="B766" s="43"/>
      <c r="C766" s="44"/>
      <c r="D766" s="44"/>
      <c r="E766" s="44"/>
      <c r="F766" s="44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3">
      <c r="A767" s="20"/>
      <c r="B767" s="43"/>
      <c r="C767" s="44"/>
      <c r="D767" s="44"/>
      <c r="E767" s="44"/>
      <c r="F767" s="44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3">
      <c r="A768" s="20"/>
      <c r="B768" s="43"/>
      <c r="C768" s="44"/>
      <c r="D768" s="44"/>
      <c r="E768" s="44"/>
      <c r="F768" s="44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3">
      <c r="A769" s="20"/>
      <c r="B769" s="43"/>
      <c r="C769" s="44"/>
      <c r="D769" s="44"/>
      <c r="E769" s="44"/>
      <c r="F769" s="44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3">
      <c r="A770" s="20"/>
      <c r="B770" s="43"/>
      <c r="C770" s="44"/>
      <c r="D770" s="44"/>
      <c r="E770" s="44"/>
      <c r="F770" s="44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3">
      <c r="A771" s="20"/>
      <c r="B771" s="43"/>
      <c r="C771" s="44"/>
      <c r="D771" s="44"/>
      <c r="E771" s="44"/>
      <c r="F771" s="44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3">
      <c r="A772" s="20"/>
      <c r="B772" s="43"/>
      <c r="C772" s="44"/>
      <c r="D772" s="44"/>
      <c r="E772" s="44"/>
      <c r="F772" s="44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3">
      <c r="A773" s="20"/>
      <c r="B773" s="43"/>
      <c r="C773" s="44"/>
      <c r="D773" s="44"/>
      <c r="E773" s="44"/>
      <c r="F773" s="44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3">
      <c r="A774" s="20"/>
      <c r="B774" s="43"/>
      <c r="C774" s="44"/>
      <c r="D774" s="44"/>
      <c r="E774" s="44"/>
      <c r="F774" s="44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3">
      <c r="A775" s="20"/>
      <c r="B775" s="43"/>
      <c r="C775" s="44"/>
      <c r="D775" s="44"/>
      <c r="E775" s="44"/>
      <c r="F775" s="44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3">
      <c r="A776" s="20"/>
      <c r="B776" s="43"/>
      <c r="C776" s="44"/>
      <c r="D776" s="44"/>
      <c r="E776" s="44"/>
      <c r="F776" s="44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3">
      <c r="A777" s="20"/>
      <c r="B777" s="43"/>
      <c r="C777" s="44"/>
      <c r="D777" s="44"/>
      <c r="E777" s="44"/>
      <c r="F777" s="44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3">
      <c r="A778" s="20"/>
      <c r="B778" s="43"/>
      <c r="C778" s="44"/>
      <c r="D778" s="44"/>
      <c r="E778" s="44"/>
      <c r="F778" s="44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3">
      <c r="A779" s="20"/>
      <c r="B779" s="43"/>
      <c r="C779" s="44"/>
      <c r="D779" s="44"/>
      <c r="E779" s="44"/>
      <c r="F779" s="44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3">
      <c r="A780" s="20"/>
      <c r="B780" s="43"/>
      <c r="C780" s="44"/>
      <c r="D780" s="44"/>
      <c r="E780" s="44"/>
      <c r="F780" s="44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3">
      <c r="A781" s="20"/>
      <c r="B781" s="43"/>
      <c r="C781" s="44"/>
      <c r="D781" s="44"/>
      <c r="E781" s="44"/>
      <c r="F781" s="44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3">
      <c r="A782" s="20"/>
      <c r="B782" s="43"/>
      <c r="C782" s="44"/>
      <c r="D782" s="44"/>
      <c r="E782" s="44"/>
      <c r="F782" s="44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3">
      <c r="A783" s="20"/>
      <c r="B783" s="43"/>
      <c r="C783" s="44"/>
      <c r="D783" s="44"/>
      <c r="E783" s="44"/>
      <c r="F783" s="44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3">
      <c r="A784" s="20"/>
      <c r="B784" s="43"/>
      <c r="C784" s="44"/>
      <c r="D784" s="44"/>
      <c r="E784" s="44"/>
      <c r="F784" s="44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3">
      <c r="A785" s="20"/>
      <c r="B785" s="43"/>
      <c r="C785" s="44"/>
      <c r="D785" s="44"/>
      <c r="E785" s="44"/>
      <c r="F785" s="44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3">
      <c r="A786" s="20"/>
      <c r="B786" s="43"/>
      <c r="C786" s="44"/>
      <c r="D786" s="44"/>
      <c r="E786" s="44"/>
      <c r="F786" s="44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3">
      <c r="A787" s="20"/>
      <c r="B787" s="43"/>
      <c r="C787" s="44"/>
      <c r="D787" s="44"/>
      <c r="E787" s="44"/>
      <c r="F787" s="44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3">
      <c r="A788" s="20"/>
      <c r="B788" s="43"/>
      <c r="C788" s="44"/>
      <c r="D788" s="44"/>
      <c r="E788" s="44"/>
      <c r="F788" s="44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3">
      <c r="A789" s="20"/>
      <c r="B789" s="43"/>
      <c r="C789" s="44"/>
      <c r="D789" s="44"/>
      <c r="E789" s="44"/>
      <c r="F789" s="44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3">
      <c r="A790" s="20"/>
      <c r="B790" s="43"/>
      <c r="C790" s="44"/>
      <c r="D790" s="44"/>
      <c r="E790" s="44"/>
      <c r="F790" s="44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3">
      <c r="A791" s="20"/>
      <c r="B791" s="43"/>
      <c r="C791" s="44"/>
      <c r="D791" s="44"/>
      <c r="E791" s="44"/>
      <c r="F791" s="44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3">
      <c r="A792" s="20"/>
      <c r="B792" s="43"/>
      <c r="C792" s="44"/>
      <c r="D792" s="44"/>
      <c r="E792" s="44"/>
      <c r="F792" s="44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3">
      <c r="A793" s="20"/>
      <c r="B793" s="43"/>
      <c r="C793" s="44"/>
      <c r="D793" s="44"/>
      <c r="E793" s="44"/>
      <c r="F793" s="44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3">
      <c r="A794" s="20"/>
      <c r="B794" s="43"/>
      <c r="C794" s="44"/>
      <c r="D794" s="44"/>
      <c r="E794" s="44"/>
      <c r="F794" s="44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3">
      <c r="A795" s="20"/>
      <c r="B795" s="43"/>
      <c r="C795" s="44"/>
      <c r="D795" s="44"/>
      <c r="E795" s="44"/>
      <c r="F795" s="44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3">
      <c r="A796" s="20"/>
      <c r="B796" s="43"/>
      <c r="C796" s="44"/>
      <c r="D796" s="44"/>
      <c r="E796" s="44"/>
      <c r="F796" s="44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3">
      <c r="A797" s="20"/>
      <c r="B797" s="43"/>
      <c r="C797" s="44"/>
      <c r="D797" s="44"/>
      <c r="E797" s="44"/>
      <c r="F797" s="44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3">
      <c r="A798" s="20"/>
      <c r="B798" s="43"/>
      <c r="C798" s="44"/>
      <c r="D798" s="44"/>
      <c r="E798" s="44"/>
      <c r="F798" s="44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3">
      <c r="A799" s="20"/>
      <c r="B799" s="43"/>
      <c r="C799" s="44"/>
      <c r="D799" s="44"/>
      <c r="E799" s="44"/>
      <c r="F799" s="44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3">
      <c r="A800" s="20"/>
      <c r="B800" s="43"/>
      <c r="C800" s="44"/>
      <c r="D800" s="44"/>
      <c r="E800" s="44"/>
      <c r="F800" s="44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3">
      <c r="A801" s="20"/>
      <c r="B801" s="43"/>
      <c r="C801" s="44"/>
      <c r="D801" s="44"/>
      <c r="E801" s="44"/>
      <c r="F801" s="44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3">
      <c r="A802" s="20"/>
      <c r="B802" s="43"/>
      <c r="C802" s="44"/>
      <c r="D802" s="44"/>
      <c r="E802" s="44"/>
      <c r="F802" s="44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3">
      <c r="A803" s="20"/>
      <c r="B803" s="43"/>
      <c r="C803" s="44"/>
      <c r="D803" s="44"/>
      <c r="E803" s="44"/>
      <c r="F803" s="44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3">
      <c r="A804" s="20"/>
      <c r="B804" s="43"/>
      <c r="C804" s="44"/>
      <c r="D804" s="44"/>
      <c r="E804" s="44"/>
      <c r="F804" s="44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3">
      <c r="A805" s="20"/>
      <c r="B805" s="43"/>
      <c r="C805" s="44"/>
      <c r="D805" s="44"/>
      <c r="E805" s="44"/>
      <c r="F805" s="44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3">
      <c r="A806" s="20"/>
      <c r="B806" s="43"/>
      <c r="C806" s="44"/>
      <c r="D806" s="44"/>
      <c r="E806" s="44"/>
      <c r="F806" s="44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3">
      <c r="A807" s="20"/>
      <c r="B807" s="43"/>
      <c r="C807" s="44"/>
      <c r="D807" s="44"/>
      <c r="E807" s="44"/>
      <c r="F807" s="44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3">
      <c r="A808" s="20"/>
      <c r="B808" s="43"/>
      <c r="C808" s="44"/>
      <c r="D808" s="44"/>
      <c r="E808" s="44"/>
      <c r="F808" s="44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3">
      <c r="A809" s="20"/>
      <c r="B809" s="43"/>
      <c r="C809" s="44"/>
      <c r="D809" s="44"/>
      <c r="E809" s="44"/>
      <c r="F809" s="44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3">
      <c r="A810" s="20"/>
      <c r="B810" s="43"/>
      <c r="C810" s="44"/>
      <c r="D810" s="44"/>
      <c r="E810" s="44"/>
      <c r="F810" s="44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3">
      <c r="A811" s="20"/>
      <c r="B811" s="43"/>
      <c r="C811" s="44"/>
      <c r="D811" s="44"/>
      <c r="E811" s="44"/>
      <c r="F811" s="44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3">
      <c r="A812" s="20"/>
      <c r="B812" s="43"/>
      <c r="C812" s="44"/>
      <c r="D812" s="44"/>
      <c r="E812" s="44"/>
      <c r="F812" s="44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3">
      <c r="A813" s="20"/>
      <c r="B813" s="43"/>
      <c r="C813" s="44"/>
      <c r="D813" s="44"/>
      <c r="E813" s="44"/>
      <c r="F813" s="44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3">
      <c r="A814" s="20"/>
      <c r="B814" s="43"/>
      <c r="C814" s="44"/>
      <c r="D814" s="44"/>
      <c r="E814" s="44"/>
      <c r="F814" s="44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3">
      <c r="A815" s="20"/>
      <c r="B815" s="43"/>
      <c r="C815" s="44"/>
      <c r="D815" s="44"/>
      <c r="E815" s="44"/>
      <c r="F815" s="44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3">
      <c r="A816" s="20"/>
      <c r="B816" s="43"/>
      <c r="C816" s="44"/>
      <c r="D816" s="44"/>
      <c r="E816" s="44"/>
      <c r="F816" s="44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3">
      <c r="A817" s="20"/>
      <c r="B817" s="43"/>
      <c r="C817" s="44"/>
      <c r="D817" s="44"/>
      <c r="E817" s="44"/>
      <c r="F817" s="44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3">
      <c r="A818" s="20"/>
      <c r="B818" s="43"/>
      <c r="C818" s="44"/>
      <c r="D818" s="44"/>
      <c r="E818" s="44"/>
      <c r="F818" s="44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3">
      <c r="A819" s="20"/>
      <c r="B819" s="43"/>
      <c r="C819" s="44"/>
      <c r="D819" s="44"/>
      <c r="E819" s="44"/>
      <c r="F819" s="44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3">
      <c r="A820" s="20"/>
      <c r="B820" s="43"/>
      <c r="C820" s="44"/>
      <c r="D820" s="44"/>
      <c r="E820" s="44"/>
      <c r="F820" s="44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3">
      <c r="A821" s="20"/>
      <c r="B821" s="43"/>
      <c r="C821" s="44"/>
      <c r="D821" s="44"/>
      <c r="E821" s="44"/>
      <c r="F821" s="44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3">
      <c r="A822" s="20"/>
      <c r="B822" s="43"/>
      <c r="C822" s="44"/>
      <c r="D822" s="44"/>
      <c r="E822" s="44"/>
      <c r="F822" s="44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3">
      <c r="A823" s="20"/>
      <c r="B823" s="43"/>
      <c r="C823" s="44"/>
      <c r="D823" s="44"/>
      <c r="E823" s="44"/>
      <c r="F823" s="44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3">
      <c r="A824" s="20"/>
      <c r="B824" s="43"/>
      <c r="C824" s="44"/>
      <c r="D824" s="44"/>
      <c r="E824" s="44"/>
      <c r="F824" s="44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3">
      <c r="A825" s="20"/>
      <c r="B825" s="43"/>
      <c r="C825" s="44"/>
      <c r="D825" s="44"/>
      <c r="E825" s="44"/>
      <c r="F825" s="44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3">
      <c r="A826" s="20"/>
      <c r="B826" s="43"/>
      <c r="C826" s="44"/>
      <c r="D826" s="44"/>
      <c r="E826" s="44"/>
      <c r="F826" s="44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3">
      <c r="A827" s="20"/>
      <c r="B827" s="43"/>
      <c r="C827" s="44"/>
      <c r="D827" s="44"/>
      <c r="E827" s="44"/>
      <c r="F827" s="44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3">
      <c r="A828" s="20"/>
      <c r="B828" s="43"/>
      <c r="C828" s="44"/>
      <c r="D828" s="44"/>
      <c r="E828" s="44"/>
      <c r="F828" s="44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3">
      <c r="A829" s="20"/>
      <c r="B829" s="43"/>
      <c r="C829" s="44"/>
      <c r="D829" s="44"/>
      <c r="E829" s="44"/>
      <c r="F829" s="44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3">
      <c r="A830" s="20"/>
      <c r="B830" s="43"/>
      <c r="C830" s="44"/>
      <c r="D830" s="44"/>
      <c r="E830" s="44"/>
      <c r="F830" s="44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3">
      <c r="A831" s="20"/>
      <c r="B831" s="43"/>
      <c r="C831" s="44"/>
      <c r="D831" s="44"/>
      <c r="E831" s="44"/>
      <c r="F831" s="44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3">
      <c r="A832" s="20"/>
      <c r="B832" s="43"/>
      <c r="C832" s="44"/>
      <c r="D832" s="44"/>
      <c r="E832" s="44"/>
      <c r="F832" s="44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3">
      <c r="A833" s="20"/>
      <c r="B833" s="43"/>
      <c r="C833" s="44"/>
      <c r="D833" s="44"/>
      <c r="E833" s="44"/>
      <c r="F833" s="44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3">
      <c r="A834" s="20"/>
      <c r="B834" s="43"/>
      <c r="C834" s="44"/>
      <c r="D834" s="44"/>
      <c r="E834" s="44"/>
      <c r="F834" s="44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3">
      <c r="A835" s="20"/>
      <c r="B835" s="43"/>
      <c r="C835" s="44"/>
      <c r="D835" s="44"/>
      <c r="E835" s="44"/>
      <c r="F835" s="44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3">
      <c r="A836" s="20"/>
      <c r="B836" s="43"/>
      <c r="C836" s="44"/>
      <c r="D836" s="44"/>
      <c r="E836" s="44"/>
      <c r="F836" s="44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3">
      <c r="A837" s="20"/>
      <c r="B837" s="43"/>
      <c r="C837" s="44"/>
      <c r="D837" s="44"/>
      <c r="E837" s="44"/>
      <c r="F837" s="44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3">
      <c r="A838" s="20"/>
      <c r="B838" s="43"/>
      <c r="C838" s="44"/>
      <c r="D838" s="44"/>
      <c r="E838" s="44"/>
      <c r="F838" s="44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3">
      <c r="A839" s="20"/>
      <c r="B839" s="43"/>
      <c r="C839" s="44"/>
      <c r="D839" s="44"/>
      <c r="E839" s="44"/>
      <c r="F839" s="44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3">
      <c r="A840" s="20"/>
      <c r="B840" s="43"/>
      <c r="C840" s="44"/>
      <c r="D840" s="44"/>
      <c r="E840" s="44"/>
      <c r="F840" s="44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3">
      <c r="A841" s="20"/>
      <c r="B841" s="43"/>
      <c r="C841" s="44"/>
      <c r="D841" s="44"/>
      <c r="E841" s="44"/>
      <c r="F841" s="44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3">
      <c r="A842" s="20"/>
      <c r="B842" s="43"/>
      <c r="C842" s="44"/>
      <c r="D842" s="44"/>
      <c r="E842" s="44"/>
      <c r="F842" s="44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3">
      <c r="A843" s="20"/>
      <c r="B843" s="43"/>
      <c r="C843" s="44"/>
      <c r="D843" s="44"/>
      <c r="E843" s="44"/>
      <c r="F843" s="44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3">
      <c r="A844" s="20"/>
      <c r="B844" s="43"/>
      <c r="C844" s="44"/>
      <c r="D844" s="44"/>
      <c r="E844" s="44"/>
      <c r="F844" s="44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3">
      <c r="A845" s="20"/>
      <c r="B845" s="43"/>
      <c r="C845" s="44"/>
      <c r="D845" s="44"/>
      <c r="E845" s="44"/>
      <c r="F845" s="44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3">
      <c r="A846" s="20"/>
      <c r="B846" s="43"/>
      <c r="C846" s="44"/>
      <c r="D846" s="44"/>
      <c r="E846" s="44"/>
      <c r="F846" s="44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3">
      <c r="A847" s="20"/>
      <c r="B847" s="43"/>
      <c r="C847" s="44"/>
      <c r="D847" s="44"/>
      <c r="E847" s="44"/>
      <c r="F847" s="44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3">
      <c r="A848" s="20"/>
      <c r="B848" s="43"/>
      <c r="C848" s="44"/>
      <c r="D848" s="44"/>
      <c r="E848" s="44"/>
      <c r="F848" s="44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3">
      <c r="A849" s="20"/>
      <c r="B849" s="43"/>
      <c r="C849" s="44"/>
      <c r="D849" s="44"/>
      <c r="E849" s="44"/>
      <c r="F849" s="44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3">
      <c r="A850" s="20"/>
      <c r="B850" s="43"/>
      <c r="C850" s="44"/>
      <c r="D850" s="44"/>
      <c r="E850" s="44"/>
      <c r="F850" s="44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3">
      <c r="A851" s="20"/>
      <c r="B851" s="43"/>
      <c r="C851" s="44"/>
      <c r="D851" s="44"/>
      <c r="E851" s="44"/>
      <c r="F851" s="44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3">
      <c r="A852" s="20"/>
      <c r="B852" s="43"/>
      <c r="C852" s="44"/>
      <c r="D852" s="44"/>
      <c r="E852" s="44"/>
      <c r="F852" s="44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3">
      <c r="A853" s="20"/>
      <c r="B853" s="43"/>
      <c r="C853" s="44"/>
      <c r="D853" s="44"/>
      <c r="E853" s="44"/>
      <c r="F853" s="44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3">
      <c r="A854" s="20"/>
      <c r="B854" s="43"/>
      <c r="C854" s="44"/>
      <c r="D854" s="44"/>
      <c r="E854" s="44"/>
      <c r="F854" s="44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3">
      <c r="A855" s="20"/>
      <c r="B855" s="43"/>
      <c r="C855" s="44"/>
      <c r="D855" s="44"/>
      <c r="E855" s="44"/>
      <c r="F855" s="44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3">
      <c r="A856" s="20"/>
      <c r="B856" s="43"/>
      <c r="C856" s="44"/>
      <c r="D856" s="44"/>
      <c r="E856" s="44"/>
      <c r="F856" s="44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3">
      <c r="A857" s="20"/>
      <c r="B857" s="43"/>
      <c r="C857" s="44"/>
      <c r="D857" s="44"/>
      <c r="E857" s="44"/>
      <c r="F857" s="44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3">
      <c r="A858" s="20"/>
      <c r="B858" s="43"/>
      <c r="C858" s="44"/>
      <c r="D858" s="44"/>
      <c r="E858" s="44"/>
      <c r="F858" s="44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3">
      <c r="A859" s="20"/>
      <c r="B859" s="43"/>
      <c r="C859" s="44"/>
      <c r="D859" s="44"/>
      <c r="E859" s="44"/>
      <c r="F859" s="44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3">
      <c r="A860" s="20"/>
      <c r="B860" s="43"/>
      <c r="C860" s="44"/>
      <c r="D860" s="44"/>
      <c r="E860" s="44"/>
      <c r="F860" s="44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3">
      <c r="A861" s="20"/>
      <c r="B861" s="43"/>
      <c r="C861" s="44"/>
      <c r="D861" s="44"/>
      <c r="E861" s="44"/>
      <c r="F861" s="44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3">
      <c r="A862" s="20"/>
      <c r="B862" s="43"/>
      <c r="C862" s="44"/>
      <c r="D862" s="44"/>
      <c r="E862" s="44"/>
      <c r="F862" s="44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3">
      <c r="A863" s="20"/>
      <c r="B863" s="43"/>
      <c r="C863" s="44"/>
      <c r="D863" s="44"/>
      <c r="E863" s="44"/>
      <c r="F863" s="44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3">
      <c r="A864" s="20"/>
      <c r="B864" s="43"/>
      <c r="C864" s="44"/>
      <c r="D864" s="44"/>
      <c r="E864" s="44"/>
      <c r="F864" s="44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3">
      <c r="A865" s="20"/>
      <c r="B865" s="43"/>
      <c r="C865" s="44"/>
      <c r="D865" s="44"/>
      <c r="E865" s="44"/>
      <c r="F865" s="44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3">
      <c r="A866" s="20"/>
      <c r="B866" s="43"/>
      <c r="C866" s="44"/>
      <c r="D866" s="44"/>
      <c r="E866" s="44"/>
      <c r="F866" s="44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3">
      <c r="A867" s="20"/>
      <c r="B867" s="43"/>
      <c r="C867" s="44"/>
      <c r="D867" s="44"/>
      <c r="E867" s="44"/>
      <c r="F867" s="44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3">
      <c r="A868" s="20"/>
      <c r="B868" s="43"/>
      <c r="C868" s="44"/>
      <c r="D868" s="44"/>
      <c r="E868" s="44"/>
      <c r="F868" s="44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3">
      <c r="A869" s="20"/>
      <c r="B869" s="43"/>
      <c r="C869" s="44"/>
      <c r="D869" s="44"/>
      <c r="E869" s="44"/>
      <c r="F869" s="44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3">
      <c r="A870" s="20"/>
      <c r="B870" s="43"/>
      <c r="C870" s="44"/>
      <c r="D870" s="44"/>
      <c r="E870" s="44"/>
      <c r="F870" s="44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3">
      <c r="A871" s="20"/>
      <c r="B871" s="43"/>
      <c r="C871" s="44"/>
      <c r="D871" s="44"/>
      <c r="E871" s="44"/>
      <c r="F871" s="44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3">
      <c r="A872" s="20"/>
      <c r="B872" s="43"/>
      <c r="C872" s="44"/>
      <c r="D872" s="44"/>
      <c r="E872" s="44"/>
      <c r="F872" s="44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3">
      <c r="A873" s="20"/>
      <c r="B873" s="43"/>
      <c r="C873" s="44"/>
      <c r="D873" s="44"/>
      <c r="E873" s="44"/>
      <c r="F873" s="44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3">
      <c r="A874" s="20"/>
      <c r="B874" s="43"/>
      <c r="C874" s="44"/>
      <c r="D874" s="44"/>
      <c r="E874" s="44"/>
      <c r="F874" s="44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3">
      <c r="A875" s="20"/>
      <c r="B875" s="43"/>
      <c r="C875" s="44"/>
      <c r="D875" s="44"/>
      <c r="E875" s="44"/>
      <c r="F875" s="44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3">
      <c r="A876" s="20"/>
      <c r="B876" s="43"/>
      <c r="C876" s="44"/>
      <c r="D876" s="44"/>
      <c r="E876" s="44"/>
      <c r="F876" s="44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3">
      <c r="A877" s="20"/>
      <c r="B877" s="43"/>
      <c r="C877" s="44"/>
      <c r="D877" s="44"/>
      <c r="E877" s="44"/>
      <c r="F877" s="44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3">
      <c r="A878" s="20"/>
      <c r="B878" s="43"/>
      <c r="C878" s="44"/>
      <c r="D878" s="44"/>
      <c r="E878" s="44"/>
      <c r="F878" s="44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3">
      <c r="A879" s="20"/>
      <c r="B879" s="43"/>
      <c r="C879" s="44"/>
      <c r="D879" s="44"/>
      <c r="E879" s="44"/>
      <c r="F879" s="44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3">
      <c r="A880" s="20"/>
      <c r="B880" s="43"/>
      <c r="C880" s="44"/>
      <c r="D880" s="44"/>
      <c r="E880" s="44"/>
      <c r="F880" s="44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3">
      <c r="A881" s="20"/>
      <c r="B881" s="43"/>
      <c r="C881" s="44"/>
      <c r="D881" s="44"/>
      <c r="E881" s="44"/>
      <c r="F881" s="44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3">
      <c r="A882" s="20"/>
      <c r="B882" s="43"/>
      <c r="C882" s="44"/>
      <c r="D882" s="44"/>
      <c r="E882" s="44"/>
      <c r="F882" s="44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3">
      <c r="A883" s="20"/>
      <c r="B883" s="43"/>
      <c r="C883" s="44"/>
      <c r="D883" s="44"/>
      <c r="E883" s="44"/>
      <c r="F883" s="44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3">
      <c r="A884" s="20"/>
      <c r="B884" s="43"/>
      <c r="C884" s="44"/>
      <c r="D884" s="44"/>
      <c r="E884" s="44"/>
      <c r="F884" s="44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3">
      <c r="A885" s="20"/>
      <c r="B885" s="43"/>
      <c r="C885" s="44"/>
      <c r="D885" s="44"/>
      <c r="E885" s="44"/>
      <c r="F885" s="44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3">
      <c r="A886" s="20"/>
      <c r="B886" s="43"/>
      <c r="C886" s="44"/>
      <c r="D886" s="44"/>
      <c r="E886" s="44"/>
      <c r="F886" s="44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3">
      <c r="A887" s="20"/>
      <c r="B887" s="43"/>
      <c r="C887" s="44"/>
      <c r="D887" s="44"/>
      <c r="E887" s="44"/>
      <c r="F887" s="44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3">
      <c r="A888" s="20"/>
      <c r="B888" s="43"/>
      <c r="C888" s="44"/>
      <c r="D888" s="44"/>
      <c r="E888" s="44"/>
      <c r="F888" s="44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3">
      <c r="A889" s="20"/>
      <c r="B889" s="43"/>
      <c r="C889" s="44"/>
      <c r="D889" s="44"/>
      <c r="E889" s="44"/>
      <c r="F889" s="44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3">
      <c r="A890" s="20"/>
      <c r="B890" s="43"/>
      <c r="C890" s="44"/>
      <c r="D890" s="44"/>
      <c r="E890" s="44"/>
      <c r="F890" s="44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3">
      <c r="A891" s="20"/>
      <c r="B891" s="43"/>
      <c r="C891" s="44"/>
      <c r="D891" s="44"/>
      <c r="E891" s="44"/>
      <c r="F891" s="44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3">
      <c r="A892" s="20"/>
      <c r="B892" s="43"/>
      <c r="C892" s="44"/>
      <c r="D892" s="44"/>
      <c r="E892" s="44"/>
      <c r="F892" s="44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3">
      <c r="A893" s="20"/>
      <c r="B893" s="43"/>
      <c r="C893" s="44"/>
      <c r="D893" s="44"/>
      <c r="E893" s="44"/>
      <c r="F893" s="44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3">
      <c r="A894" s="20"/>
      <c r="B894" s="43"/>
      <c r="C894" s="44"/>
      <c r="D894" s="44"/>
      <c r="E894" s="44"/>
      <c r="F894" s="44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3">
      <c r="A895" s="20"/>
      <c r="B895" s="43"/>
      <c r="C895" s="44"/>
      <c r="D895" s="44"/>
      <c r="E895" s="44"/>
      <c r="F895" s="44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3">
      <c r="A896" s="20"/>
      <c r="B896" s="43"/>
      <c r="C896" s="44"/>
      <c r="D896" s="44"/>
      <c r="E896" s="44"/>
      <c r="F896" s="44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3">
      <c r="A897" s="20"/>
      <c r="B897" s="43"/>
      <c r="C897" s="44"/>
      <c r="D897" s="44"/>
      <c r="E897" s="44"/>
      <c r="F897" s="44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3">
      <c r="A898" s="20"/>
      <c r="B898" s="43"/>
      <c r="C898" s="44"/>
      <c r="D898" s="44"/>
      <c r="E898" s="44"/>
      <c r="F898" s="44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3">
      <c r="A899" s="20"/>
      <c r="B899" s="43"/>
      <c r="C899" s="44"/>
      <c r="D899" s="44"/>
      <c r="E899" s="44"/>
      <c r="F899" s="44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3">
      <c r="A900" s="20"/>
      <c r="B900" s="43"/>
      <c r="C900" s="44"/>
      <c r="D900" s="44"/>
      <c r="E900" s="44"/>
      <c r="F900" s="44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3">
      <c r="A901" s="20"/>
      <c r="B901" s="43"/>
      <c r="C901" s="44"/>
      <c r="D901" s="44"/>
      <c r="E901" s="44"/>
      <c r="F901" s="44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3">
      <c r="A902" s="20"/>
      <c r="B902" s="43"/>
      <c r="C902" s="44"/>
      <c r="D902" s="44"/>
      <c r="E902" s="44"/>
      <c r="F902" s="44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3">
      <c r="A903" s="20"/>
      <c r="B903" s="43"/>
      <c r="C903" s="44"/>
      <c r="D903" s="44"/>
      <c r="E903" s="44"/>
      <c r="F903" s="44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3">
      <c r="A904" s="20"/>
      <c r="B904" s="43"/>
      <c r="C904" s="44"/>
      <c r="D904" s="44"/>
      <c r="E904" s="44"/>
      <c r="F904" s="44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3">
      <c r="A905" s="20"/>
      <c r="B905" s="43"/>
      <c r="C905" s="44"/>
      <c r="D905" s="44"/>
      <c r="E905" s="44"/>
      <c r="F905" s="44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3">
      <c r="A906" s="20"/>
      <c r="B906" s="43"/>
      <c r="C906" s="44"/>
      <c r="D906" s="44"/>
      <c r="E906" s="44"/>
      <c r="F906" s="44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3">
      <c r="A907" s="20"/>
      <c r="B907" s="43"/>
      <c r="C907" s="44"/>
      <c r="D907" s="44"/>
      <c r="E907" s="44"/>
      <c r="F907" s="44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3">
      <c r="A908" s="20"/>
      <c r="B908" s="43"/>
      <c r="C908" s="44"/>
      <c r="D908" s="44"/>
      <c r="E908" s="44"/>
      <c r="F908" s="44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3">
      <c r="A909" s="20"/>
      <c r="B909" s="43"/>
      <c r="C909" s="44"/>
      <c r="D909" s="44"/>
      <c r="E909" s="44"/>
      <c r="F909" s="44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3">
      <c r="A910" s="20"/>
      <c r="B910" s="43"/>
      <c r="C910" s="44"/>
      <c r="D910" s="44"/>
      <c r="E910" s="44"/>
      <c r="F910" s="44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3">
      <c r="A911" s="20"/>
      <c r="B911" s="43"/>
      <c r="C911" s="44"/>
      <c r="D911" s="44"/>
      <c r="E911" s="44"/>
      <c r="F911" s="44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3">
      <c r="A912" s="20"/>
      <c r="B912" s="43"/>
      <c r="C912" s="44"/>
      <c r="D912" s="44"/>
      <c r="E912" s="44"/>
      <c r="F912" s="44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3">
      <c r="A913" s="20"/>
      <c r="B913" s="43"/>
      <c r="C913" s="44"/>
      <c r="D913" s="44"/>
      <c r="E913" s="44"/>
      <c r="F913" s="44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3">
      <c r="A914" s="20"/>
      <c r="B914" s="43"/>
      <c r="C914" s="44"/>
      <c r="D914" s="44"/>
      <c r="E914" s="44"/>
      <c r="F914" s="44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3">
      <c r="A915" s="20"/>
      <c r="B915" s="43"/>
      <c r="C915" s="44"/>
      <c r="D915" s="44"/>
      <c r="E915" s="44"/>
      <c r="F915" s="44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3">
      <c r="A916" s="20"/>
      <c r="B916" s="43"/>
      <c r="C916" s="44"/>
      <c r="D916" s="44"/>
      <c r="E916" s="44"/>
      <c r="F916" s="44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3">
      <c r="A917" s="20"/>
      <c r="B917" s="43"/>
      <c r="C917" s="44"/>
      <c r="D917" s="44"/>
      <c r="E917" s="44"/>
      <c r="F917" s="44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3">
      <c r="A918" s="20"/>
      <c r="B918" s="43"/>
      <c r="C918" s="44"/>
      <c r="D918" s="44"/>
      <c r="E918" s="44"/>
      <c r="F918" s="44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3">
      <c r="A919" s="20"/>
      <c r="B919" s="43"/>
      <c r="C919" s="44"/>
      <c r="D919" s="44"/>
      <c r="E919" s="44"/>
      <c r="F919" s="44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3">
      <c r="A920" s="20"/>
      <c r="B920" s="43"/>
      <c r="C920" s="44"/>
      <c r="D920" s="44"/>
      <c r="E920" s="44"/>
      <c r="F920" s="44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3">
      <c r="A921" s="20"/>
      <c r="B921" s="43"/>
      <c r="C921" s="44"/>
      <c r="D921" s="44"/>
      <c r="E921" s="44"/>
      <c r="F921" s="44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3">
      <c r="A922" s="20"/>
      <c r="B922" s="43"/>
      <c r="C922" s="44"/>
      <c r="D922" s="44"/>
      <c r="E922" s="44"/>
      <c r="F922" s="44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3">
      <c r="A923" s="20"/>
      <c r="B923" s="43"/>
      <c r="C923" s="44"/>
      <c r="D923" s="44"/>
      <c r="E923" s="44"/>
      <c r="F923" s="44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3">
      <c r="A924" s="20"/>
      <c r="B924" s="43"/>
      <c r="C924" s="44"/>
      <c r="D924" s="44"/>
      <c r="E924" s="44"/>
      <c r="F924" s="44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3">
      <c r="A925" s="20"/>
      <c r="B925" s="43"/>
      <c r="C925" s="44"/>
      <c r="D925" s="44"/>
      <c r="E925" s="44"/>
      <c r="F925" s="44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3">
      <c r="A926" s="20"/>
      <c r="B926" s="43"/>
      <c r="C926" s="44"/>
      <c r="D926" s="44"/>
      <c r="E926" s="44"/>
      <c r="F926" s="44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3">
      <c r="A927" s="20"/>
      <c r="B927" s="43"/>
      <c r="C927" s="44"/>
      <c r="D927" s="44"/>
      <c r="E927" s="44"/>
      <c r="F927" s="44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3">
      <c r="A928" s="20"/>
      <c r="B928" s="43"/>
      <c r="C928" s="44"/>
      <c r="D928" s="44"/>
      <c r="E928" s="44"/>
      <c r="F928" s="44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3">
      <c r="A929" s="20"/>
      <c r="B929" s="43"/>
      <c r="C929" s="44"/>
      <c r="D929" s="44"/>
      <c r="E929" s="44"/>
      <c r="F929" s="44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3">
      <c r="A930" s="20"/>
      <c r="B930" s="43"/>
      <c r="C930" s="44"/>
      <c r="D930" s="44"/>
      <c r="E930" s="44"/>
      <c r="F930" s="44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3">
      <c r="A931" s="20"/>
      <c r="B931" s="43"/>
      <c r="C931" s="44"/>
      <c r="D931" s="44"/>
      <c r="E931" s="44"/>
      <c r="F931" s="44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3">
      <c r="A932" s="20"/>
      <c r="B932" s="43"/>
      <c r="C932" s="44"/>
      <c r="D932" s="44"/>
      <c r="E932" s="44"/>
      <c r="F932" s="44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3">
      <c r="A933" s="20"/>
      <c r="B933" s="43"/>
      <c r="C933" s="44"/>
      <c r="D933" s="44"/>
      <c r="E933" s="44"/>
      <c r="F933" s="44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3">
      <c r="A934" s="20"/>
      <c r="B934" s="43"/>
      <c r="C934" s="44"/>
      <c r="D934" s="44"/>
      <c r="E934" s="44"/>
      <c r="F934" s="44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3">
      <c r="A935" s="20"/>
      <c r="B935" s="43"/>
      <c r="C935" s="44"/>
      <c r="D935" s="44"/>
      <c r="E935" s="44"/>
      <c r="F935" s="44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3">
      <c r="A936" s="20"/>
      <c r="B936" s="43"/>
      <c r="C936" s="44"/>
      <c r="D936" s="44"/>
      <c r="E936" s="44"/>
      <c r="F936" s="44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3">
      <c r="A937" s="20"/>
      <c r="B937" s="43"/>
      <c r="C937" s="44"/>
      <c r="D937" s="44"/>
      <c r="E937" s="44"/>
      <c r="F937" s="44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3">
      <c r="A938" s="20"/>
      <c r="B938" s="43"/>
      <c r="C938" s="44"/>
      <c r="D938" s="44"/>
      <c r="E938" s="44"/>
      <c r="F938" s="44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3">
      <c r="A939" s="20"/>
      <c r="B939" s="43"/>
      <c r="C939" s="44"/>
      <c r="D939" s="44"/>
      <c r="E939" s="44"/>
      <c r="F939" s="44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3">
      <c r="A940" s="20"/>
      <c r="B940" s="43"/>
      <c r="C940" s="44"/>
      <c r="D940" s="44"/>
      <c r="E940" s="44"/>
      <c r="F940" s="44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3">
      <c r="A941" s="20"/>
      <c r="B941" s="43"/>
      <c r="C941" s="44"/>
      <c r="D941" s="44"/>
      <c r="E941" s="44"/>
      <c r="F941" s="44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3">
      <c r="A942" s="20"/>
      <c r="B942" s="43"/>
      <c r="C942" s="44"/>
      <c r="D942" s="44"/>
      <c r="E942" s="44"/>
      <c r="F942" s="44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3">
      <c r="A943" s="20"/>
      <c r="B943" s="43"/>
      <c r="C943" s="44"/>
      <c r="D943" s="44"/>
      <c r="E943" s="44"/>
      <c r="F943" s="44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3">
      <c r="A944" s="20"/>
      <c r="B944" s="43"/>
      <c r="C944" s="44"/>
      <c r="D944" s="44"/>
      <c r="E944" s="44"/>
      <c r="F944" s="44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3">
      <c r="A945" s="20"/>
      <c r="B945" s="43"/>
      <c r="C945" s="44"/>
      <c r="D945" s="44"/>
      <c r="E945" s="44"/>
      <c r="F945" s="44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3">
      <c r="A946" s="20"/>
      <c r="B946" s="43"/>
      <c r="C946" s="44"/>
      <c r="D946" s="44"/>
      <c r="E946" s="44"/>
      <c r="F946" s="44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3">
      <c r="A947" s="20"/>
      <c r="B947" s="43"/>
      <c r="C947" s="44"/>
      <c r="D947" s="44"/>
      <c r="E947" s="44"/>
      <c r="F947" s="44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3">
      <c r="A948" s="20"/>
      <c r="B948" s="43"/>
      <c r="C948" s="44"/>
      <c r="D948" s="44"/>
      <c r="E948" s="44"/>
      <c r="F948" s="44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3">
      <c r="A949" s="20"/>
      <c r="B949" s="43"/>
      <c r="C949" s="44"/>
      <c r="D949" s="44"/>
      <c r="E949" s="44"/>
      <c r="F949" s="44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3">
      <c r="A950" s="20"/>
      <c r="B950" s="43"/>
      <c r="C950" s="44"/>
      <c r="D950" s="44"/>
      <c r="E950" s="44"/>
      <c r="F950" s="44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3">
      <c r="A951" s="20"/>
      <c r="B951" s="43"/>
      <c r="C951" s="44"/>
      <c r="D951" s="44"/>
      <c r="E951" s="44"/>
      <c r="F951" s="44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3">
      <c r="A952" s="20"/>
      <c r="B952" s="43"/>
      <c r="C952" s="44"/>
      <c r="D952" s="44"/>
      <c r="E952" s="44"/>
      <c r="F952" s="44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3">
      <c r="A953" s="20"/>
      <c r="B953" s="43"/>
      <c r="C953" s="44"/>
      <c r="D953" s="44"/>
      <c r="E953" s="44"/>
      <c r="F953" s="44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3">
      <c r="A954" s="20"/>
      <c r="B954" s="43"/>
      <c r="C954" s="44"/>
      <c r="D954" s="44"/>
      <c r="E954" s="44"/>
      <c r="F954" s="44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3">
      <c r="A955" s="20"/>
      <c r="B955" s="43"/>
      <c r="C955" s="44"/>
      <c r="D955" s="44"/>
      <c r="E955" s="44"/>
      <c r="F955" s="44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3">
      <c r="A956" s="20"/>
      <c r="B956" s="43"/>
      <c r="C956" s="44"/>
      <c r="D956" s="44"/>
      <c r="E956" s="44"/>
      <c r="F956" s="44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3">
      <c r="A957" s="20"/>
      <c r="B957" s="43"/>
      <c r="C957" s="44"/>
      <c r="D957" s="44"/>
      <c r="E957" s="44"/>
      <c r="F957" s="44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3">
      <c r="A958" s="20"/>
      <c r="B958" s="43"/>
      <c r="C958" s="44"/>
      <c r="D958" s="44"/>
      <c r="E958" s="44"/>
      <c r="F958" s="44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3">
      <c r="A959" s="20"/>
      <c r="B959" s="43"/>
      <c r="C959" s="44"/>
      <c r="D959" s="44"/>
      <c r="E959" s="44"/>
      <c r="F959" s="44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3">
      <c r="A960" s="20"/>
      <c r="B960" s="43"/>
      <c r="C960" s="44"/>
      <c r="D960" s="44"/>
      <c r="E960" s="44"/>
      <c r="F960" s="44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3">
      <c r="A961" s="20"/>
      <c r="B961" s="43"/>
      <c r="C961" s="44"/>
      <c r="D961" s="44"/>
      <c r="E961" s="44"/>
      <c r="F961" s="44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3">
      <c r="A962" s="20"/>
      <c r="B962" s="43"/>
      <c r="C962" s="44"/>
      <c r="D962" s="44"/>
      <c r="E962" s="44"/>
      <c r="F962" s="44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3">
      <c r="A963" s="20"/>
      <c r="B963" s="43"/>
      <c r="C963" s="44"/>
      <c r="D963" s="44"/>
      <c r="E963" s="44"/>
      <c r="F963" s="44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3">
      <c r="A964" s="20"/>
      <c r="B964" s="43"/>
      <c r="C964" s="44"/>
      <c r="D964" s="44"/>
      <c r="E964" s="44"/>
      <c r="F964" s="44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3">
      <c r="A965" s="20"/>
      <c r="B965" s="43"/>
      <c r="C965" s="44"/>
      <c r="D965" s="44"/>
      <c r="E965" s="44"/>
      <c r="F965" s="44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3">
      <c r="A966" s="20"/>
      <c r="B966" s="43"/>
      <c r="C966" s="44"/>
      <c r="D966" s="44"/>
      <c r="E966" s="44"/>
      <c r="F966" s="44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3">
      <c r="A967" s="20"/>
      <c r="B967" s="43"/>
      <c r="C967" s="44"/>
      <c r="D967" s="44"/>
      <c r="E967" s="44"/>
      <c r="F967" s="44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3">
      <c r="A968" s="20"/>
      <c r="B968" s="43"/>
      <c r="C968" s="44"/>
      <c r="D968" s="44"/>
      <c r="E968" s="44"/>
      <c r="F968" s="44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3">
      <c r="A969" s="20"/>
      <c r="B969" s="43"/>
      <c r="C969" s="44"/>
      <c r="D969" s="44"/>
      <c r="E969" s="44"/>
      <c r="F969" s="44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3">
      <c r="A970" s="20"/>
      <c r="B970" s="43"/>
      <c r="C970" s="44"/>
      <c r="D970" s="44"/>
      <c r="E970" s="44"/>
      <c r="F970" s="44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3">
      <c r="A971" s="20"/>
      <c r="B971" s="43"/>
      <c r="C971" s="44"/>
      <c r="D971" s="44"/>
      <c r="E971" s="44"/>
      <c r="F971" s="44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3">
      <c r="A972" s="20"/>
      <c r="B972" s="43"/>
      <c r="C972" s="44"/>
      <c r="D972" s="44"/>
      <c r="E972" s="44"/>
      <c r="F972" s="44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3">
      <c r="A973" s="20"/>
      <c r="B973" s="43"/>
      <c r="C973" s="44"/>
      <c r="D973" s="44"/>
      <c r="E973" s="44"/>
      <c r="F973" s="44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3">
      <c r="A974" s="20"/>
      <c r="B974" s="43"/>
      <c r="C974" s="44"/>
      <c r="D974" s="44"/>
      <c r="E974" s="44"/>
      <c r="F974" s="44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3">
      <c r="A975" s="20"/>
      <c r="B975" s="43"/>
      <c r="C975" s="44"/>
      <c r="D975" s="44"/>
      <c r="E975" s="44"/>
      <c r="F975" s="44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3">
      <c r="A976" s="20"/>
      <c r="B976" s="43"/>
      <c r="C976" s="44"/>
      <c r="D976" s="44"/>
      <c r="E976" s="44"/>
      <c r="F976" s="44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3">
      <c r="A977" s="20"/>
      <c r="B977" s="43"/>
      <c r="C977" s="44"/>
      <c r="D977" s="44"/>
      <c r="E977" s="44"/>
      <c r="F977" s="44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3">
      <c r="A978" s="20"/>
      <c r="B978" s="43"/>
      <c r="C978" s="44"/>
      <c r="D978" s="44"/>
      <c r="E978" s="44"/>
      <c r="F978" s="44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3">
      <c r="A979" s="20"/>
      <c r="B979" s="43"/>
      <c r="C979" s="44"/>
      <c r="D979" s="44"/>
      <c r="E979" s="44"/>
      <c r="F979" s="44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3">
      <c r="A980" s="20"/>
      <c r="B980" s="43"/>
      <c r="C980" s="44"/>
      <c r="D980" s="44"/>
      <c r="E980" s="44"/>
      <c r="F980" s="44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3">
      <c r="A981" s="20"/>
      <c r="B981" s="43"/>
      <c r="C981" s="44"/>
      <c r="D981" s="44"/>
      <c r="E981" s="44"/>
      <c r="F981" s="44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3">
      <c r="A982" s="20"/>
      <c r="B982" s="43"/>
      <c r="C982" s="44"/>
      <c r="D982" s="44"/>
      <c r="E982" s="44"/>
      <c r="F982" s="44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3">
      <c r="A983" s="20"/>
      <c r="B983" s="43"/>
      <c r="C983" s="44"/>
      <c r="D983" s="44"/>
      <c r="E983" s="44"/>
      <c r="F983" s="44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3">
      <c r="A984" s="20"/>
      <c r="B984" s="43"/>
      <c r="C984" s="44"/>
      <c r="D984" s="44"/>
      <c r="E984" s="44"/>
      <c r="F984" s="44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3">
      <c r="A985" s="20"/>
      <c r="B985" s="43"/>
      <c r="C985" s="44"/>
      <c r="D985" s="44"/>
      <c r="E985" s="44"/>
      <c r="F985" s="44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3">
      <c r="A986" s="20"/>
      <c r="B986" s="43"/>
      <c r="C986" s="44"/>
      <c r="D986" s="44"/>
      <c r="E986" s="44"/>
      <c r="F986" s="44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3">
      <c r="A987" s="20"/>
      <c r="B987" s="43"/>
      <c r="C987" s="44"/>
      <c r="D987" s="44"/>
      <c r="E987" s="44"/>
      <c r="F987" s="44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3">
      <c r="A988" s="20"/>
      <c r="B988" s="43"/>
      <c r="C988" s="44"/>
      <c r="D988" s="44"/>
      <c r="E988" s="44"/>
      <c r="F988" s="44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3">
      <c r="A989" s="20"/>
      <c r="B989" s="43"/>
      <c r="C989" s="44"/>
      <c r="D989" s="44"/>
      <c r="E989" s="44"/>
      <c r="F989" s="44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3">
      <c r="A990" s="20"/>
      <c r="B990" s="43"/>
      <c r="C990" s="44"/>
      <c r="D990" s="44"/>
      <c r="E990" s="44"/>
      <c r="F990" s="44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3">
      <c r="A991" s="20"/>
      <c r="B991" s="43"/>
      <c r="C991" s="44"/>
      <c r="D991" s="44"/>
      <c r="E991" s="44"/>
      <c r="F991" s="44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3">
      <c r="A992" s="20"/>
      <c r="B992" s="43"/>
      <c r="C992" s="44"/>
      <c r="D992" s="44"/>
      <c r="E992" s="44"/>
      <c r="F992" s="44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3">
      <c r="A993" s="20"/>
      <c r="B993" s="43"/>
      <c r="C993" s="44"/>
      <c r="D993" s="44"/>
      <c r="E993" s="44"/>
      <c r="F993" s="44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3">
      <c r="A994" s="20"/>
      <c r="B994" s="43"/>
      <c r="C994" s="44"/>
      <c r="D994" s="44"/>
      <c r="E994" s="44"/>
      <c r="F994" s="44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3">
      <c r="A995" s="20"/>
      <c r="B995" s="43"/>
      <c r="C995" s="44"/>
      <c r="D995" s="44"/>
      <c r="E995" s="44"/>
      <c r="F995" s="44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3">
      <c r="A996" s="20"/>
      <c r="B996" s="43"/>
      <c r="C996" s="44"/>
      <c r="D996" s="44"/>
      <c r="E996" s="44"/>
      <c r="F996" s="44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3">
      <c r="A997" s="20"/>
      <c r="B997" s="43"/>
      <c r="C997" s="44"/>
      <c r="D997" s="44"/>
      <c r="E997" s="44"/>
      <c r="F997" s="44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3">
      <c r="A998" s="20"/>
      <c r="B998" s="43"/>
      <c r="C998" s="44"/>
      <c r="D998" s="44"/>
      <c r="E998" s="44"/>
      <c r="F998" s="44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 x14ac:dyDescent="0.3">
      <c r="A999" s="20"/>
      <c r="B999" s="43"/>
      <c r="C999" s="44"/>
      <c r="D999" s="44"/>
      <c r="E999" s="44"/>
      <c r="F999" s="44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 x14ac:dyDescent="0.3">
      <c r="A1000" s="20"/>
      <c r="B1000" s="43"/>
      <c r="C1000" s="44"/>
      <c r="D1000" s="44"/>
      <c r="E1000" s="44"/>
      <c r="F1000" s="44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r:id="rId1" location="'Shopping%20Cart'!A1" xr:uid="{00000000-0004-0000-0100-000000000000}"/>
  </hyperlink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18" zoomScaleNormal="100" workbookViewId="0"/>
  </sheetViews>
  <sheetFormatPr defaultColWidth="14.44140625" defaultRowHeight="14.4" x14ac:dyDescent="0.3"/>
  <cols>
    <col min="1" max="3" width="26" style="13" customWidth="1"/>
    <col min="4" max="4" width="80" style="13" customWidth="1"/>
    <col min="5" max="5" width="11" style="13" customWidth="1"/>
    <col min="6" max="6" width="40" style="13" customWidth="1"/>
    <col min="7" max="26" width="9.109375" style="13" customWidth="1"/>
  </cols>
  <sheetData>
    <row r="1" spans="1:26" ht="25.5" customHeight="1" x14ac:dyDescent="0.3">
      <c r="A1" s="72" t="s">
        <v>31</v>
      </c>
      <c r="B1" s="72" t="s">
        <v>32</v>
      </c>
      <c r="C1" s="72" t="s">
        <v>33</v>
      </c>
      <c r="D1" s="72" t="s">
        <v>34</v>
      </c>
      <c r="E1" s="72" t="s">
        <v>35</v>
      </c>
      <c r="F1" s="72" t="s">
        <v>36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27" customHeight="1" x14ac:dyDescent="0.3">
      <c r="A2" s="74" t="s">
        <v>37</v>
      </c>
      <c r="B2" s="74" t="s">
        <v>28</v>
      </c>
      <c r="C2" s="74" t="s">
        <v>38</v>
      </c>
      <c r="D2" s="75" t="s">
        <v>39</v>
      </c>
      <c r="E2" s="76" t="s">
        <v>40</v>
      </c>
      <c r="F2" s="75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27" customHeight="1" x14ac:dyDescent="0.3">
      <c r="A3" s="74"/>
      <c r="B3" s="74"/>
      <c r="C3" s="74"/>
      <c r="D3" s="75" t="s">
        <v>41</v>
      </c>
      <c r="E3" s="76" t="s">
        <v>42</v>
      </c>
      <c r="F3" s="75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27" customHeight="1" x14ac:dyDescent="0.3">
      <c r="A4" s="74"/>
      <c r="B4" s="74"/>
      <c r="C4" s="74"/>
      <c r="D4" s="75" t="s">
        <v>43</v>
      </c>
      <c r="E4" s="76" t="s">
        <v>40</v>
      </c>
      <c r="F4" s="75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7" customHeight="1" x14ac:dyDescent="0.3">
      <c r="A5" s="74"/>
      <c r="B5" s="74"/>
      <c r="C5" s="74" t="s">
        <v>44</v>
      </c>
      <c r="D5" s="75" t="s">
        <v>45</v>
      </c>
      <c r="E5" s="76" t="s">
        <v>40</v>
      </c>
      <c r="F5" s="75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27" customHeight="1" x14ac:dyDescent="0.3">
      <c r="A6" s="74"/>
      <c r="B6" s="74"/>
      <c r="C6" s="74"/>
      <c r="D6" s="75" t="s">
        <v>46</v>
      </c>
      <c r="E6" s="76" t="s">
        <v>40</v>
      </c>
      <c r="F6" s="75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27" customHeight="1" x14ac:dyDescent="0.3">
      <c r="A7" s="74"/>
      <c r="B7" s="74"/>
      <c r="C7" s="74"/>
      <c r="D7" s="75" t="s">
        <v>47</v>
      </c>
      <c r="E7" s="76" t="s">
        <v>40</v>
      </c>
      <c r="F7" s="75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27" customHeight="1" x14ac:dyDescent="0.3">
      <c r="A8" s="74"/>
      <c r="B8" s="74"/>
      <c r="C8" s="74"/>
      <c r="D8" s="75" t="s">
        <v>48</v>
      </c>
      <c r="E8" s="76" t="s">
        <v>40</v>
      </c>
      <c r="F8" s="75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27" customHeight="1" x14ac:dyDescent="0.3">
      <c r="A9" s="74"/>
      <c r="B9" s="74"/>
      <c r="C9" s="74"/>
      <c r="D9" s="75" t="s">
        <v>49</v>
      </c>
      <c r="E9" s="76" t="s">
        <v>40</v>
      </c>
      <c r="F9" s="75" t="s">
        <v>50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27" customHeight="1" x14ac:dyDescent="0.3">
      <c r="A10" s="74"/>
      <c r="B10" s="74"/>
      <c r="C10" s="74" t="s">
        <v>51</v>
      </c>
      <c r="D10" s="75" t="s">
        <v>52</v>
      </c>
      <c r="E10" s="76" t="s">
        <v>40</v>
      </c>
      <c r="F10" s="75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27" customHeight="1" x14ac:dyDescent="0.3">
      <c r="A11" s="74"/>
      <c r="B11" s="74"/>
      <c r="C11" s="74"/>
      <c r="D11" s="75" t="s">
        <v>53</v>
      </c>
      <c r="E11" s="76" t="s">
        <v>40</v>
      </c>
      <c r="F11" s="75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27" customHeight="1" x14ac:dyDescent="0.3">
      <c r="A12" s="74"/>
      <c r="B12" s="74"/>
      <c r="C12" s="74"/>
      <c r="D12" s="75" t="s">
        <v>54</v>
      </c>
      <c r="E12" s="76" t="s">
        <v>40</v>
      </c>
      <c r="F12" s="75" t="s">
        <v>55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27" customHeight="1" x14ac:dyDescent="0.3">
      <c r="A13" s="74"/>
      <c r="B13" s="74"/>
      <c r="C13" s="74"/>
      <c r="D13" s="75" t="s">
        <v>56</v>
      </c>
      <c r="E13" s="76" t="s">
        <v>40</v>
      </c>
      <c r="F13" s="75" t="s">
        <v>55</v>
      </c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27" customHeight="1" x14ac:dyDescent="0.3">
      <c r="A14" s="74"/>
      <c r="B14" s="74"/>
      <c r="C14" s="74"/>
      <c r="D14" s="75" t="s">
        <v>57</v>
      </c>
      <c r="E14" s="76" t="s">
        <v>40</v>
      </c>
      <c r="F14" s="75" t="s">
        <v>58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27" customHeight="1" x14ac:dyDescent="0.3">
      <c r="A15" s="74"/>
      <c r="B15" s="74"/>
      <c r="C15" s="74" t="s">
        <v>59</v>
      </c>
      <c r="D15" s="75" t="s">
        <v>60</v>
      </c>
      <c r="E15" s="76" t="s">
        <v>40</v>
      </c>
      <c r="F15" s="75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27" customHeight="1" x14ac:dyDescent="0.3">
      <c r="A16" s="74"/>
      <c r="B16" s="74"/>
      <c r="C16" s="74"/>
      <c r="D16" s="75" t="s">
        <v>61</v>
      </c>
      <c r="E16" s="76" t="s">
        <v>40</v>
      </c>
      <c r="F16" s="75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27" customHeight="1" x14ac:dyDescent="0.3">
      <c r="A17" s="74"/>
      <c r="B17" s="74"/>
      <c r="C17" s="74"/>
      <c r="D17" s="75" t="s">
        <v>62</v>
      </c>
      <c r="E17" s="76" t="s">
        <v>40</v>
      </c>
      <c r="F17" s="75" t="s">
        <v>63</v>
      </c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7" customHeight="1" x14ac:dyDescent="0.3">
      <c r="A18" s="74"/>
      <c r="B18" s="74"/>
      <c r="C18" s="74"/>
      <c r="D18" s="75" t="s">
        <v>64</v>
      </c>
      <c r="E18" s="76" t="s">
        <v>40</v>
      </c>
      <c r="F18" s="75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27" customHeight="1" x14ac:dyDescent="0.3">
      <c r="A19" s="74"/>
      <c r="B19" s="74"/>
      <c r="C19" s="74"/>
      <c r="D19" s="75" t="s">
        <v>65</v>
      </c>
      <c r="E19" s="76" t="s">
        <v>40</v>
      </c>
      <c r="F19" s="75" t="s">
        <v>63</v>
      </c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27" customHeight="1" x14ac:dyDescent="0.3">
      <c r="A20" s="74"/>
      <c r="B20" s="74"/>
      <c r="C20" s="74"/>
      <c r="D20" s="75" t="s">
        <v>66</v>
      </c>
      <c r="E20" s="76" t="s">
        <v>40</v>
      </c>
      <c r="F20" s="75" t="s">
        <v>67</v>
      </c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27" customHeight="1" x14ac:dyDescent="0.3">
      <c r="A21" s="74"/>
      <c r="B21" s="74"/>
      <c r="C21" s="74" t="s">
        <v>68</v>
      </c>
      <c r="D21" s="75" t="s">
        <v>69</v>
      </c>
      <c r="E21" s="76" t="s">
        <v>40</v>
      </c>
      <c r="F21" s="75" t="s">
        <v>67</v>
      </c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27" customHeight="1" x14ac:dyDescent="0.3">
      <c r="A22" s="74"/>
      <c r="B22" s="74"/>
      <c r="C22" s="74"/>
      <c r="D22" s="75" t="s">
        <v>70</v>
      </c>
      <c r="E22" s="76" t="s">
        <v>40</v>
      </c>
      <c r="F22" s="75" t="s">
        <v>67</v>
      </c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27" customHeight="1" x14ac:dyDescent="0.3">
      <c r="A23" s="74"/>
      <c r="B23" s="74"/>
      <c r="C23" s="74"/>
      <c r="D23" s="75" t="s">
        <v>71</v>
      </c>
      <c r="E23" s="76" t="s">
        <v>40</v>
      </c>
      <c r="F23" s="75" t="s">
        <v>63</v>
      </c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27" customHeight="1" x14ac:dyDescent="0.3">
      <c r="A24" s="74"/>
      <c r="B24" s="74"/>
      <c r="C24" s="74" t="s">
        <v>72</v>
      </c>
      <c r="D24" s="75" t="s">
        <v>73</v>
      </c>
      <c r="E24" s="76" t="s">
        <v>40</v>
      </c>
      <c r="F24" s="75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27" customHeight="1" x14ac:dyDescent="0.3">
      <c r="A25" s="74"/>
      <c r="B25" s="74"/>
      <c r="C25" s="74"/>
      <c r="D25" s="75" t="s">
        <v>74</v>
      </c>
      <c r="E25" s="76" t="s">
        <v>40</v>
      </c>
      <c r="F25" s="75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27" customHeight="1" x14ac:dyDescent="0.3">
      <c r="A26" s="74"/>
      <c r="B26" s="74"/>
      <c r="C26" s="74" t="s">
        <v>75</v>
      </c>
      <c r="D26" s="75" t="s">
        <v>76</v>
      </c>
      <c r="E26" s="76" t="s">
        <v>40</v>
      </c>
      <c r="F26" s="75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27" customHeight="1" x14ac:dyDescent="0.3">
      <c r="A27" s="74"/>
      <c r="B27" s="74"/>
      <c r="C27" s="74" t="s">
        <v>77</v>
      </c>
      <c r="D27" s="75" t="s">
        <v>78</v>
      </c>
      <c r="E27" s="76" t="s">
        <v>40</v>
      </c>
      <c r="F27" s="75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27" customHeight="1" x14ac:dyDescent="0.3">
      <c r="A28" s="74"/>
      <c r="B28" s="74"/>
      <c r="C28" s="74" t="s">
        <v>79</v>
      </c>
      <c r="D28" s="75" t="s">
        <v>80</v>
      </c>
      <c r="E28" s="76" t="s">
        <v>40</v>
      </c>
      <c r="F28" s="75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27" customHeight="1" x14ac:dyDescent="0.3">
      <c r="A29" s="74"/>
      <c r="B29" s="74"/>
      <c r="C29" s="74"/>
      <c r="D29" s="75" t="s">
        <v>81</v>
      </c>
      <c r="E29" s="76" t="s">
        <v>40</v>
      </c>
      <c r="F29" s="75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27" customHeight="1" x14ac:dyDescent="0.3">
      <c r="A30" s="74"/>
      <c r="B30" s="74" t="s">
        <v>82</v>
      </c>
      <c r="C30" s="74" t="s">
        <v>83</v>
      </c>
      <c r="D30" s="75" t="s">
        <v>84</v>
      </c>
      <c r="E30" s="76" t="s">
        <v>40</v>
      </c>
      <c r="F30" s="75" t="s">
        <v>85</v>
      </c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27" customHeight="1" x14ac:dyDescent="0.3">
      <c r="A31" s="74"/>
      <c r="B31" s="74"/>
      <c r="C31" s="74"/>
      <c r="D31" s="75" t="s">
        <v>86</v>
      </c>
      <c r="E31" s="76" t="s">
        <v>40</v>
      </c>
      <c r="F31" s="75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25.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25.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5" customHeight="1" x14ac:dyDescent="0.3"/>
    <row r="61" ht="12.75" customHeight="1" x14ac:dyDescent="0.3"/>
    <row r="62" ht="15" customHeight="1" x14ac:dyDescent="0.3"/>
    <row r="63" ht="15" customHeight="1" x14ac:dyDescent="0.3"/>
    <row r="64" ht="25.5" customHeight="1" x14ac:dyDescent="0.3"/>
    <row r="65" ht="12.75" customHeight="1" x14ac:dyDescent="0.3"/>
    <row r="66" ht="12.75" customHeight="1" x14ac:dyDescent="0.3"/>
    <row r="67" ht="25.5" customHeight="1" x14ac:dyDescent="0.3"/>
    <row r="68" ht="25.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25.5" customHeight="1" x14ac:dyDescent="0.3"/>
    <row r="85" ht="25.5" customHeight="1" x14ac:dyDescent="0.3"/>
    <row r="86" ht="25.5" customHeight="1" x14ac:dyDescent="0.3"/>
    <row r="87" ht="12.75" customHeight="1" x14ac:dyDescent="0.3"/>
    <row r="88" ht="12.75" customHeight="1" x14ac:dyDescent="0.3"/>
    <row r="89" ht="12.75" customHeight="1" x14ac:dyDescent="0.3"/>
    <row r="90" ht="25.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25.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25.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2.75" customHeight="1" x14ac:dyDescent="0.3"/>
    <row r="113" ht="15" customHeight="1" x14ac:dyDescent="0.3"/>
    <row r="114" ht="15" customHeight="1" x14ac:dyDescent="0.3"/>
    <row r="115" ht="25.5" customHeight="1" x14ac:dyDescent="0.3"/>
    <row r="116" ht="25.5" customHeight="1" x14ac:dyDescent="0.3"/>
    <row r="117" ht="12.7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25.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38.2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25.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25.5" customHeight="1" x14ac:dyDescent="0.3"/>
    <row r="164" ht="25.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2.75" customHeight="1" x14ac:dyDescent="0.3"/>
    <row r="172" ht="25.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38.2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25.5" customHeight="1" x14ac:dyDescent="0.3"/>
    <row r="209" ht="15" customHeight="1" x14ac:dyDescent="0.3"/>
    <row r="210" ht="15" customHeight="1" x14ac:dyDescent="0.3"/>
    <row r="211" ht="15" customHeight="1" x14ac:dyDescent="0.3"/>
    <row r="212" ht="25.5" customHeight="1" x14ac:dyDescent="0.3"/>
    <row r="213" ht="25.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25.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25.5" customHeight="1" x14ac:dyDescent="0.3"/>
    <row r="257" ht="15" customHeight="1" x14ac:dyDescent="0.3"/>
    <row r="258" ht="15" customHeight="1" x14ac:dyDescent="0.3"/>
    <row r="259" ht="15" customHeight="1" x14ac:dyDescent="0.3"/>
    <row r="260" ht="25.5" customHeight="1" x14ac:dyDescent="0.3"/>
    <row r="261" ht="25.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25.5" customHeight="1" x14ac:dyDescent="0.3"/>
    <row r="268" ht="12.7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25.5" customHeight="1" x14ac:dyDescent="0.3"/>
    <row r="294" ht="12.7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4" ht="12.75" customHeight="1" x14ac:dyDescent="0.3"/>
    <row r="307" ht="25.5" customHeight="1" x14ac:dyDescent="0.3"/>
    <row r="308" ht="25.5" customHeight="1" x14ac:dyDescent="0.3"/>
    <row r="309" ht="25.5" customHeight="1" x14ac:dyDescent="0.3"/>
    <row r="310" ht="25.5" customHeight="1" x14ac:dyDescent="0.3"/>
    <row r="311" ht="25.5" customHeight="1" x14ac:dyDescent="0.3"/>
    <row r="312" ht="25.5" customHeight="1" x14ac:dyDescent="0.3"/>
    <row r="313" ht="25.5" customHeight="1" x14ac:dyDescent="0.3"/>
    <row r="329" ht="25.5" customHeight="1" x14ac:dyDescent="0.3"/>
    <row r="330" ht="25.5" customHeight="1" x14ac:dyDescent="0.3"/>
    <row r="362" ht="12.75" customHeight="1" x14ac:dyDescent="0.3"/>
    <row r="363" ht="12.75" customHeight="1" x14ac:dyDescent="0.3"/>
    <row r="379" ht="25.5" customHeight="1" x14ac:dyDescent="0.3"/>
    <row r="380" ht="12.75" customHeight="1" x14ac:dyDescent="0.3"/>
    <row r="402" ht="25.5" customHeight="1" x14ac:dyDescent="0.3"/>
    <row r="406" ht="12.75" customHeight="1" x14ac:dyDescent="0.3"/>
    <row r="411" ht="25.5" customHeight="1" x14ac:dyDescent="0.3"/>
    <row r="412" ht="25.5" customHeight="1" x14ac:dyDescent="0.3"/>
    <row r="421" ht="25.5" customHeight="1" x14ac:dyDescent="0.3"/>
    <row r="422" ht="12.75" customHeight="1" x14ac:dyDescent="0.3"/>
    <row r="444" ht="25.5" customHeight="1" x14ac:dyDescent="0.3"/>
    <row r="448" ht="12.75" customHeight="1" x14ac:dyDescent="0.3"/>
    <row r="453" ht="25.5" customHeight="1" x14ac:dyDescent="0.3"/>
    <row r="454" ht="25.5" customHeight="1" x14ac:dyDescent="0.3"/>
    <row r="462" ht="25.5" customHeight="1" x14ac:dyDescent="0.3"/>
    <row r="463" ht="25.5" customHeight="1" x14ac:dyDescent="0.3"/>
    <row r="464" ht="12.75" customHeight="1" x14ac:dyDescent="0.3"/>
    <row r="486" ht="25.5" customHeight="1" x14ac:dyDescent="0.3"/>
    <row r="490" ht="12.75" customHeight="1" x14ac:dyDescent="0.3"/>
    <row r="495" ht="25.5" customHeight="1" x14ac:dyDescent="0.3"/>
    <row r="496" ht="25.5" customHeight="1" x14ac:dyDescent="0.3"/>
    <row r="504" ht="25.5" customHeight="1" x14ac:dyDescent="0.3"/>
    <row r="505" ht="25.5" customHeight="1" x14ac:dyDescent="0.3"/>
    <row r="506" ht="12.75" customHeight="1" x14ac:dyDescent="0.3"/>
    <row r="508" ht="25.5" customHeight="1" x14ac:dyDescent="0.3"/>
    <row r="522" ht="25.5" customHeight="1" x14ac:dyDescent="0.3"/>
    <row r="525" ht="25.5" customHeight="1" x14ac:dyDescent="0.3"/>
    <row r="532" ht="25.5" customHeight="1" x14ac:dyDescent="0.3"/>
    <row r="533" ht="12.75" customHeight="1" x14ac:dyDescent="0.3"/>
    <row r="556" ht="25.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25.5" customHeight="1" x14ac:dyDescent="0.3"/>
    <row r="580" ht="12.75" customHeight="1" x14ac:dyDescent="0.3"/>
    <row r="581" ht="12.75" customHeight="1" x14ac:dyDescent="0.3"/>
    <row r="582" ht="25.5" customHeight="1" x14ac:dyDescent="0.3"/>
    <row r="583" ht="12.75" customHeight="1" x14ac:dyDescent="0.3"/>
    <row r="584" ht="25.5" customHeight="1" x14ac:dyDescent="0.3"/>
    <row r="585" ht="25.5" customHeight="1" x14ac:dyDescent="0.3"/>
    <row r="586" ht="25.5" customHeight="1" x14ac:dyDescent="0.3"/>
    <row r="587" ht="12.75" customHeight="1" x14ac:dyDescent="0.3"/>
    <row r="588" ht="12.75" customHeight="1" x14ac:dyDescent="0.3"/>
    <row r="589" ht="12.75" customHeight="1" x14ac:dyDescent="0.3"/>
    <row r="591" ht="25.5" customHeight="1" x14ac:dyDescent="0.3"/>
    <row r="592" ht="12.75" customHeight="1" x14ac:dyDescent="0.3"/>
    <row r="593" ht="25.5" customHeight="1" x14ac:dyDescent="0.3"/>
    <row r="594" ht="25.5" customHeight="1" x14ac:dyDescent="0.3"/>
    <row r="595" ht="25.5" customHeight="1" x14ac:dyDescent="0.3"/>
    <row r="596" ht="12.75" customHeight="1" x14ac:dyDescent="0.3"/>
    <row r="597" ht="12.75" customHeight="1" x14ac:dyDescent="0.3"/>
    <row r="599" ht="12.75" customHeight="1" x14ac:dyDescent="0.3"/>
    <row r="600" ht="12.75" customHeight="1" x14ac:dyDescent="0.3"/>
    <row r="602" ht="25.5" customHeight="1" x14ac:dyDescent="0.3"/>
    <row r="604" ht="38.25" customHeight="1" x14ac:dyDescent="0.3"/>
    <row r="605" ht="12.75" customHeight="1" x14ac:dyDescent="0.3"/>
    <row r="606" ht="12.75" customHeight="1" x14ac:dyDescent="0.3"/>
    <row r="607" ht="25.5" customHeight="1" x14ac:dyDescent="0.3"/>
    <row r="608" ht="25.5" customHeight="1" x14ac:dyDescent="0.3"/>
    <row r="609" ht="25.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55" ht="25.5" customHeight="1" x14ac:dyDescent="0.3"/>
    <row r="661" ht="38.25" customHeight="1" x14ac:dyDescent="0.3"/>
    <row r="662" ht="25.5" customHeight="1" x14ac:dyDescent="0.3"/>
    <row r="678" ht="12.75" customHeight="1" x14ac:dyDescent="0.3"/>
    <row r="679" ht="12.75" customHeight="1" x14ac:dyDescent="0.3"/>
    <row r="680" ht="12.75" customHeight="1" x14ac:dyDescent="0.3"/>
    <row r="681" ht="25.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705" ht="25.5" customHeight="1" x14ac:dyDescent="0.3"/>
    <row r="708" ht="12.75" customHeight="1" x14ac:dyDescent="0.3"/>
    <row r="709" ht="12.75" customHeight="1" x14ac:dyDescent="0.3"/>
    <row r="710" ht="25.5" customHeight="1" x14ac:dyDescent="0.3"/>
    <row r="721" ht="25.5" customHeight="1" x14ac:dyDescent="0.3"/>
    <row r="722" ht="25.5" customHeight="1" x14ac:dyDescent="0.3"/>
    <row r="728" ht="24" customHeight="1" x14ac:dyDescent="0.3"/>
    <row r="729" ht="24" customHeight="1" x14ac:dyDescent="0.3"/>
    <row r="730" ht="12.75" customHeight="1" x14ac:dyDescent="0.3"/>
    <row r="731" ht="12.75" customHeight="1" x14ac:dyDescent="0.3"/>
    <row r="732" ht="12.75" customHeight="1" x14ac:dyDescent="0.3"/>
    <row r="733" ht="25.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58" ht="25.5" customHeight="1" x14ac:dyDescent="0.3"/>
    <row r="761" ht="12.75" customHeight="1" x14ac:dyDescent="0.3"/>
    <row r="762" ht="12.75" customHeight="1" x14ac:dyDescent="0.3"/>
    <row r="763" ht="25.5" customHeight="1" x14ac:dyDescent="0.3"/>
    <row r="767" ht="25.5" customHeight="1" x14ac:dyDescent="0.3"/>
    <row r="768" ht="12.75" customHeight="1" x14ac:dyDescent="0.3"/>
    <row r="769" ht="25.5" customHeight="1" x14ac:dyDescent="0.3"/>
    <row r="770" ht="12.75" customHeight="1" x14ac:dyDescent="0.3"/>
    <row r="771" ht="12.75" customHeight="1" x14ac:dyDescent="0.3"/>
    <row r="772" ht="12.75" customHeight="1" x14ac:dyDescent="0.3"/>
    <row r="773" ht="25.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25.5" customHeight="1" x14ac:dyDescent="0.3"/>
    <row r="779" ht="25.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5" ht="25.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2" ht="12.75" customHeight="1" x14ac:dyDescent="0.3"/>
    <row r="803" ht="25.5" customHeight="1" x14ac:dyDescent="0.3"/>
    <row r="804" ht="25.5" customHeight="1" x14ac:dyDescent="0.3"/>
    <row r="815" ht="25.5" customHeight="1" x14ac:dyDescent="0.3"/>
    <row r="831" ht="25.5" customHeight="1" x14ac:dyDescent="0.3"/>
    <row r="842" ht="25.5" customHeight="1" x14ac:dyDescent="0.3"/>
    <row r="845" ht="25.5" customHeight="1" x14ac:dyDescent="0.3"/>
    <row r="858" ht="25.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autoFilter ref="A1:F870" xr:uid="{00000000-0009-0000-0000-000002000000}"/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35" zoomScaleNormal="100" workbookViewId="0"/>
  </sheetViews>
  <sheetFormatPr defaultColWidth="14.44140625" defaultRowHeight="14.4" x14ac:dyDescent="0.3"/>
  <cols>
    <col min="1" max="1" width="17.33203125" style="13" customWidth="1"/>
    <col min="2" max="2" width="34" style="13" customWidth="1"/>
    <col min="3" max="4" width="52" style="13" customWidth="1"/>
    <col min="5" max="5" width="24" style="13" customWidth="1"/>
    <col min="6" max="6" width="10" style="13" customWidth="1"/>
    <col min="7" max="7" width="12" style="13" customWidth="1"/>
    <col min="8" max="8" width="28" style="13" customWidth="1"/>
    <col min="9" max="9" width="9.44140625" style="13" customWidth="1"/>
    <col min="10" max="10" width="8.109375" style="13" hidden="1" customWidth="1"/>
    <col min="11" max="26" width="9.109375" style="13" customWidth="1"/>
  </cols>
  <sheetData>
    <row r="1" spans="1:26" ht="13.5" customHeight="1" x14ac:dyDescent="0.3">
      <c r="A1" s="78"/>
      <c r="B1" s="79"/>
      <c r="C1" s="79"/>
      <c r="D1" s="79"/>
      <c r="E1" s="79"/>
      <c r="F1" s="48"/>
      <c r="G1" s="80"/>
      <c r="H1" s="48"/>
      <c r="I1" s="81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5" customHeight="1" x14ac:dyDescent="0.3">
      <c r="A2" s="83" t="s">
        <v>87</v>
      </c>
      <c r="B2" s="4" t="s">
        <v>88</v>
      </c>
      <c r="C2" s="4"/>
      <c r="D2" s="4"/>
      <c r="E2" s="4"/>
      <c r="F2" s="4"/>
      <c r="G2" s="4"/>
      <c r="H2" s="4"/>
      <c r="I2" s="81"/>
      <c r="J2" s="82" t="s">
        <v>89</v>
      </c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5.5" customHeight="1" x14ac:dyDescent="0.3">
      <c r="A3" s="84" t="s">
        <v>90</v>
      </c>
      <c r="B3" s="4" t="s">
        <v>27</v>
      </c>
      <c r="C3" s="4"/>
      <c r="D3" s="4"/>
      <c r="E3" s="4"/>
      <c r="F3" s="4"/>
      <c r="G3" s="4"/>
      <c r="H3" s="4"/>
      <c r="I3" s="81"/>
      <c r="J3" s="82" t="s">
        <v>91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8" customHeight="1" x14ac:dyDescent="0.3">
      <c r="A4" s="83" t="s">
        <v>92</v>
      </c>
      <c r="B4" s="4" t="s">
        <v>4</v>
      </c>
      <c r="C4" s="4"/>
      <c r="D4" s="4"/>
      <c r="E4" s="4"/>
      <c r="F4" s="4"/>
      <c r="G4" s="4"/>
      <c r="H4" s="4"/>
      <c r="I4" s="81"/>
      <c r="J4" s="82" t="s">
        <v>93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9.5" customHeight="1" x14ac:dyDescent="0.3">
      <c r="A5" s="85" t="s">
        <v>89</v>
      </c>
      <c r="B5" s="86" t="s">
        <v>91</v>
      </c>
      <c r="C5" s="86" t="s">
        <v>94</v>
      </c>
      <c r="D5" s="86" t="s">
        <v>93</v>
      </c>
      <c r="E5" s="87" t="s">
        <v>95</v>
      </c>
      <c r="F5" s="3" t="s">
        <v>96</v>
      </c>
      <c r="G5" s="3"/>
      <c r="H5" s="3"/>
      <c r="I5" s="88"/>
      <c r="J5" s="82" t="s">
        <v>94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" customHeight="1" x14ac:dyDescent="0.3">
      <c r="A6" s="89">
        <f>COUNTIF(F9:F996,"Passed")</f>
        <v>0</v>
      </c>
      <c r="B6" s="90">
        <f>COUNTIF(F9:F996,"Failed")</f>
        <v>0</v>
      </c>
      <c r="C6" s="90">
        <f>F6-E6-D6-B6-A6</f>
        <v>30</v>
      </c>
      <c r="D6" s="90">
        <f>COUNTIF(F$9:F$996,"Blocked")</f>
        <v>0</v>
      </c>
      <c r="E6" s="91">
        <f>COUNTIF(F$9:F$996,"Skipped")</f>
        <v>0</v>
      </c>
      <c r="F6" s="2">
        <f>COUNTA(A9:A996)</f>
        <v>30</v>
      </c>
      <c r="G6" s="2"/>
      <c r="H6" s="2"/>
      <c r="I6" s="88"/>
      <c r="J6" s="82" t="s">
        <v>95</v>
      </c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" customHeight="1" x14ac:dyDescent="0.3">
      <c r="A7" s="82"/>
      <c r="B7" s="82"/>
      <c r="C7" s="82"/>
      <c r="D7" s="92"/>
      <c r="E7" s="92"/>
      <c r="F7" s="93"/>
      <c r="G7" s="93"/>
      <c r="H7" s="93"/>
      <c r="I7" s="88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5.5" customHeight="1" x14ac:dyDescent="0.3">
      <c r="A8" s="94" t="s">
        <v>97</v>
      </c>
      <c r="B8" s="95" t="s">
        <v>98</v>
      </c>
      <c r="C8" s="95" t="s">
        <v>99</v>
      </c>
      <c r="D8" s="95" t="s">
        <v>100</v>
      </c>
      <c r="E8" s="96" t="s">
        <v>101</v>
      </c>
      <c r="F8" s="96" t="s">
        <v>102</v>
      </c>
      <c r="G8" s="96" t="s">
        <v>103</v>
      </c>
      <c r="H8" s="97" t="s">
        <v>36</v>
      </c>
      <c r="I8" s="98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33.5" customHeight="1" x14ac:dyDescent="0.3">
      <c r="A9" s="99" t="str">
        <f t="shared" ref="A9:A38" si="0">IF(OR(B9&lt;&gt;"",D9&lt;&gt;""),"["&amp;TEXT($B$2,"##")&amp;"-"&amp;TEXT(ROW()-8,"##")&amp;"]","")</f>
        <v>[ShoppingCart-1]</v>
      </c>
      <c r="B9" s="100" t="s">
        <v>104</v>
      </c>
      <c r="C9" s="100" t="s">
        <v>105</v>
      </c>
      <c r="D9" s="100" t="s">
        <v>106</v>
      </c>
      <c r="E9" s="100"/>
      <c r="F9" s="101" t="s">
        <v>94</v>
      </c>
      <c r="G9" s="102"/>
      <c r="H9" s="103" t="s">
        <v>107</v>
      </c>
      <c r="I9" s="104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7" customHeight="1" x14ac:dyDescent="0.3">
      <c r="A10" s="99" t="str">
        <f t="shared" si="0"/>
        <v>[ShoppingCart-2]</v>
      </c>
      <c r="B10" s="100" t="s">
        <v>108</v>
      </c>
      <c r="C10" s="100" t="s">
        <v>109</v>
      </c>
      <c r="D10" s="100" t="s">
        <v>110</v>
      </c>
      <c r="E10" s="100"/>
      <c r="F10" s="101" t="s">
        <v>94</v>
      </c>
      <c r="G10" s="102"/>
      <c r="H10" s="103" t="s">
        <v>111</v>
      </c>
      <c r="I10" s="104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9.75" customHeight="1" x14ac:dyDescent="0.3">
      <c r="A11" s="99" t="str">
        <f t="shared" si="0"/>
        <v>[ShoppingCart-3]</v>
      </c>
      <c r="B11" s="100" t="s">
        <v>112</v>
      </c>
      <c r="C11" s="100" t="s">
        <v>113</v>
      </c>
      <c r="D11" s="100" t="s">
        <v>114</v>
      </c>
      <c r="E11" s="100"/>
      <c r="F11" s="101" t="s">
        <v>94</v>
      </c>
      <c r="G11" s="102"/>
      <c r="H11" s="103"/>
      <c r="I11" s="104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47" customHeight="1" x14ac:dyDescent="0.3">
      <c r="A12" s="99" t="str">
        <f t="shared" si="0"/>
        <v>[ShoppingCart-4]</v>
      </c>
      <c r="B12" s="100" t="s">
        <v>115</v>
      </c>
      <c r="C12" s="100" t="s">
        <v>116</v>
      </c>
      <c r="D12" s="100" t="s">
        <v>117</v>
      </c>
      <c r="E12" s="100"/>
      <c r="F12" s="101" t="s">
        <v>94</v>
      </c>
      <c r="G12" s="102"/>
      <c r="H12" s="103"/>
      <c r="I12" s="104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33.5" customHeight="1" x14ac:dyDescent="0.3">
      <c r="A13" s="99" t="str">
        <f t="shared" si="0"/>
        <v>[ShoppingCart-5]</v>
      </c>
      <c r="B13" s="100" t="s">
        <v>118</v>
      </c>
      <c r="C13" s="100" t="s">
        <v>119</v>
      </c>
      <c r="D13" s="100" t="s">
        <v>120</v>
      </c>
      <c r="E13" s="100" t="s">
        <v>121</v>
      </c>
      <c r="F13" s="101" t="s">
        <v>94</v>
      </c>
      <c r="G13" s="102"/>
      <c r="H13" s="103"/>
      <c r="I13" s="104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33.5" customHeight="1" x14ac:dyDescent="0.3">
      <c r="A14" s="99" t="str">
        <f t="shared" si="0"/>
        <v>[ShoppingCart-6]</v>
      </c>
      <c r="B14" s="100" t="s">
        <v>122</v>
      </c>
      <c r="C14" s="100" t="s">
        <v>123</v>
      </c>
      <c r="D14" s="100" t="s">
        <v>124</v>
      </c>
      <c r="E14" s="100" t="s">
        <v>121</v>
      </c>
      <c r="F14" s="101" t="s">
        <v>94</v>
      </c>
      <c r="G14" s="102"/>
      <c r="H14" s="103"/>
      <c r="I14" s="104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9.75" customHeight="1" x14ac:dyDescent="0.3">
      <c r="A15" s="99" t="str">
        <f t="shared" si="0"/>
        <v>[ShoppingCart-7]</v>
      </c>
      <c r="B15" s="100" t="s">
        <v>125</v>
      </c>
      <c r="C15" s="100" t="s">
        <v>126</v>
      </c>
      <c r="D15" s="100" t="s">
        <v>127</v>
      </c>
      <c r="E15" s="100"/>
      <c r="F15" s="101" t="s">
        <v>94</v>
      </c>
      <c r="G15" s="102"/>
      <c r="H15" s="103"/>
      <c r="I15" s="104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72.5" customHeight="1" x14ac:dyDescent="0.3">
      <c r="A16" s="99" t="str">
        <f t="shared" si="0"/>
        <v>[ShoppingCart-8]</v>
      </c>
      <c r="B16" s="100" t="s">
        <v>128</v>
      </c>
      <c r="C16" s="100" t="s">
        <v>129</v>
      </c>
      <c r="D16" s="100" t="s">
        <v>130</v>
      </c>
      <c r="E16" s="100"/>
      <c r="F16" s="101" t="s">
        <v>94</v>
      </c>
      <c r="G16" s="102"/>
      <c r="H16" s="103"/>
      <c r="I16" s="104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72.5" customHeight="1" x14ac:dyDescent="0.3">
      <c r="A17" s="99" t="str">
        <f t="shared" si="0"/>
        <v>[ShoppingCart-9]</v>
      </c>
      <c r="B17" s="100" t="s">
        <v>131</v>
      </c>
      <c r="C17" s="100" t="s">
        <v>132</v>
      </c>
      <c r="D17" s="100" t="s">
        <v>133</v>
      </c>
      <c r="E17" s="100"/>
      <c r="F17" s="101" t="s">
        <v>94</v>
      </c>
      <c r="G17" s="102"/>
      <c r="H17" s="103"/>
      <c r="I17" s="104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47" customHeight="1" x14ac:dyDescent="0.3">
      <c r="A18" s="99" t="str">
        <f t="shared" si="0"/>
        <v>[ShoppingCart-10]</v>
      </c>
      <c r="B18" s="100" t="s">
        <v>134</v>
      </c>
      <c r="C18" s="100" t="s">
        <v>135</v>
      </c>
      <c r="D18" s="100" t="s">
        <v>136</v>
      </c>
      <c r="E18" s="100"/>
      <c r="F18" s="101" t="s">
        <v>94</v>
      </c>
      <c r="G18" s="102"/>
      <c r="H18" s="103"/>
      <c r="I18" s="104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47" customHeight="1" x14ac:dyDescent="0.3">
      <c r="A19" s="99" t="str">
        <f t="shared" si="0"/>
        <v>[ShoppingCart-11]</v>
      </c>
      <c r="B19" s="100" t="s">
        <v>137</v>
      </c>
      <c r="C19" s="100" t="s">
        <v>138</v>
      </c>
      <c r="D19" s="100" t="s">
        <v>139</v>
      </c>
      <c r="E19" s="100"/>
      <c r="F19" s="101" t="s">
        <v>94</v>
      </c>
      <c r="G19" s="102"/>
      <c r="H19" s="103" t="s">
        <v>140</v>
      </c>
      <c r="I19" s="104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47" customHeight="1" x14ac:dyDescent="0.3">
      <c r="A20" s="99" t="str">
        <f t="shared" si="0"/>
        <v>[ShoppingCart-12]</v>
      </c>
      <c r="B20" s="100" t="s">
        <v>141</v>
      </c>
      <c r="C20" s="100" t="s">
        <v>142</v>
      </c>
      <c r="D20" s="100" t="s">
        <v>143</v>
      </c>
      <c r="E20" s="100"/>
      <c r="F20" s="101" t="s">
        <v>94</v>
      </c>
      <c r="G20" s="102"/>
      <c r="H20" s="103" t="s">
        <v>144</v>
      </c>
      <c r="I20" s="104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9.75" customHeight="1" x14ac:dyDescent="0.3">
      <c r="A21" s="99" t="str">
        <f t="shared" si="0"/>
        <v>[ShoppingCart-13]</v>
      </c>
      <c r="B21" s="100" t="s">
        <v>145</v>
      </c>
      <c r="C21" s="100" t="s">
        <v>146</v>
      </c>
      <c r="D21" s="100" t="s">
        <v>147</v>
      </c>
      <c r="E21" s="100"/>
      <c r="F21" s="101" t="s">
        <v>94</v>
      </c>
      <c r="G21" s="102"/>
      <c r="H21" s="103"/>
      <c r="I21" s="104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94.5" customHeight="1" x14ac:dyDescent="0.3">
      <c r="A22" s="99" t="str">
        <f t="shared" si="0"/>
        <v>[ShoppingCart-14]</v>
      </c>
      <c r="B22" s="100" t="s">
        <v>148</v>
      </c>
      <c r="C22" s="100" t="s">
        <v>149</v>
      </c>
      <c r="D22" s="100" t="s">
        <v>150</v>
      </c>
      <c r="E22" s="100" t="s">
        <v>121</v>
      </c>
      <c r="F22" s="101" t="s">
        <v>94</v>
      </c>
      <c r="G22" s="102"/>
      <c r="H22" s="103"/>
      <c r="I22" s="104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81.75" customHeight="1" x14ac:dyDescent="0.3">
      <c r="A23" s="99" t="str">
        <f t="shared" si="0"/>
        <v>[ShoppingCart-15]</v>
      </c>
      <c r="B23" s="100" t="s">
        <v>151</v>
      </c>
      <c r="C23" s="100" t="s">
        <v>152</v>
      </c>
      <c r="D23" s="100" t="s">
        <v>153</v>
      </c>
      <c r="E23" s="100" t="s">
        <v>154</v>
      </c>
      <c r="F23" s="101" t="s">
        <v>94</v>
      </c>
      <c r="G23" s="102"/>
      <c r="H23" s="103"/>
      <c r="I23" s="104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81.75" customHeight="1" x14ac:dyDescent="0.3">
      <c r="A24" s="99" t="str">
        <f t="shared" si="0"/>
        <v>[ShoppingCart-16]</v>
      </c>
      <c r="B24" s="100" t="s">
        <v>155</v>
      </c>
      <c r="C24" s="100" t="s">
        <v>156</v>
      </c>
      <c r="D24" s="100" t="s">
        <v>157</v>
      </c>
      <c r="E24" s="100" t="s">
        <v>121</v>
      </c>
      <c r="F24" s="101" t="s">
        <v>94</v>
      </c>
      <c r="G24" s="102"/>
      <c r="H24" s="103" t="s">
        <v>158</v>
      </c>
      <c r="I24" s="104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94.5" customHeight="1" x14ac:dyDescent="0.3">
      <c r="A25" s="99" t="str">
        <f t="shared" si="0"/>
        <v>[ShoppingCart-17]</v>
      </c>
      <c r="B25" s="100" t="s">
        <v>159</v>
      </c>
      <c r="C25" s="100" t="s">
        <v>160</v>
      </c>
      <c r="D25" s="100" t="s">
        <v>161</v>
      </c>
      <c r="E25" s="100" t="s">
        <v>121</v>
      </c>
      <c r="F25" s="101" t="s">
        <v>94</v>
      </c>
      <c r="G25" s="102"/>
      <c r="H25" s="103"/>
      <c r="I25" s="104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94.5" customHeight="1" x14ac:dyDescent="0.3">
      <c r="A26" s="99" t="str">
        <f t="shared" si="0"/>
        <v>[ShoppingCart-18]</v>
      </c>
      <c r="B26" s="100" t="s">
        <v>162</v>
      </c>
      <c r="C26" s="100" t="s">
        <v>163</v>
      </c>
      <c r="D26" s="100" t="s">
        <v>164</v>
      </c>
      <c r="E26" s="100" t="s">
        <v>121</v>
      </c>
      <c r="F26" s="101" t="s">
        <v>94</v>
      </c>
      <c r="G26" s="102"/>
      <c r="H26" s="103" t="s">
        <v>158</v>
      </c>
      <c r="I26" s="104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94.5" customHeight="1" x14ac:dyDescent="0.3">
      <c r="A27" s="99" t="str">
        <f t="shared" si="0"/>
        <v>[ShoppingCart-19]</v>
      </c>
      <c r="B27" s="100" t="s">
        <v>165</v>
      </c>
      <c r="C27" s="100" t="s">
        <v>166</v>
      </c>
      <c r="D27" s="100" t="s">
        <v>167</v>
      </c>
      <c r="E27" s="100" t="s">
        <v>121</v>
      </c>
      <c r="F27" s="101" t="s">
        <v>94</v>
      </c>
      <c r="G27" s="102"/>
      <c r="H27" s="103"/>
      <c r="I27" s="104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94.5" customHeight="1" x14ac:dyDescent="0.3">
      <c r="A28" s="99" t="str">
        <f t="shared" si="0"/>
        <v>[ShoppingCart-20]</v>
      </c>
      <c r="B28" s="100" t="s">
        <v>168</v>
      </c>
      <c r="C28" s="100" t="s">
        <v>169</v>
      </c>
      <c r="D28" s="100" t="s">
        <v>170</v>
      </c>
      <c r="E28" s="100" t="s">
        <v>121</v>
      </c>
      <c r="F28" s="101" t="s">
        <v>94</v>
      </c>
      <c r="G28" s="102"/>
      <c r="H28" s="103"/>
      <c r="I28" s="104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94.5" customHeight="1" x14ac:dyDescent="0.3">
      <c r="A29" s="99" t="str">
        <f t="shared" si="0"/>
        <v>[ShoppingCart-21]</v>
      </c>
      <c r="B29" s="100" t="s">
        <v>171</v>
      </c>
      <c r="C29" s="100" t="s">
        <v>172</v>
      </c>
      <c r="D29" s="100" t="s">
        <v>173</v>
      </c>
      <c r="E29" s="100" t="s">
        <v>121</v>
      </c>
      <c r="F29" s="101" t="s">
        <v>94</v>
      </c>
      <c r="G29" s="102"/>
      <c r="H29" s="103"/>
      <c r="I29" s="104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94.5" customHeight="1" x14ac:dyDescent="0.3">
      <c r="A30" s="99" t="str">
        <f t="shared" si="0"/>
        <v>[ShoppingCart-22]</v>
      </c>
      <c r="B30" s="100" t="s">
        <v>174</v>
      </c>
      <c r="C30" s="100" t="s">
        <v>175</v>
      </c>
      <c r="D30" s="100" t="s">
        <v>176</v>
      </c>
      <c r="E30" s="100" t="s">
        <v>121</v>
      </c>
      <c r="F30" s="101" t="s">
        <v>94</v>
      </c>
      <c r="G30" s="102"/>
      <c r="H30" s="103" t="s">
        <v>177</v>
      </c>
      <c r="I30" s="104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81.75" customHeight="1" x14ac:dyDescent="0.3">
      <c r="A31" s="99" t="str">
        <f t="shared" si="0"/>
        <v>[ShoppingCart-23]</v>
      </c>
      <c r="B31" s="100" t="s">
        <v>178</v>
      </c>
      <c r="C31" s="100" t="s">
        <v>179</v>
      </c>
      <c r="D31" s="100" t="s">
        <v>180</v>
      </c>
      <c r="E31" s="100" t="s">
        <v>181</v>
      </c>
      <c r="F31" s="101" t="s">
        <v>94</v>
      </c>
      <c r="G31" s="102"/>
      <c r="H31" s="103"/>
      <c r="I31" s="104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81.75" customHeight="1" x14ac:dyDescent="0.3">
      <c r="A32" s="99" t="str">
        <f t="shared" si="0"/>
        <v>[ShoppingCart-24]</v>
      </c>
      <c r="B32" s="100" t="s">
        <v>182</v>
      </c>
      <c r="C32" s="100" t="s">
        <v>183</v>
      </c>
      <c r="D32" s="100" t="s">
        <v>184</v>
      </c>
      <c r="E32" s="100" t="s">
        <v>121</v>
      </c>
      <c r="F32" s="101" t="s">
        <v>94</v>
      </c>
      <c r="G32" s="102"/>
      <c r="H32" s="103"/>
      <c r="I32" s="104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08" customHeight="1" x14ac:dyDescent="0.3">
      <c r="A33" s="99" t="str">
        <f t="shared" si="0"/>
        <v>[ShoppingCart-25]</v>
      </c>
      <c r="B33" s="100" t="s">
        <v>185</v>
      </c>
      <c r="C33" s="100" t="s">
        <v>186</v>
      </c>
      <c r="D33" s="100" t="s">
        <v>187</v>
      </c>
      <c r="E33" s="100" t="s">
        <v>181</v>
      </c>
      <c r="F33" s="101" t="s">
        <v>94</v>
      </c>
      <c r="G33" s="102"/>
      <c r="H33" s="103"/>
      <c r="I33" s="104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81.75" customHeight="1" x14ac:dyDescent="0.3">
      <c r="A34" s="99" t="str">
        <f t="shared" si="0"/>
        <v>[ShoppingCart-26]</v>
      </c>
      <c r="B34" s="100" t="s">
        <v>188</v>
      </c>
      <c r="C34" s="100" t="s">
        <v>189</v>
      </c>
      <c r="D34" s="100" t="s">
        <v>190</v>
      </c>
      <c r="E34" s="100" t="s">
        <v>121</v>
      </c>
      <c r="F34" s="101" t="s">
        <v>94</v>
      </c>
      <c r="G34" s="102"/>
      <c r="H34" s="103"/>
      <c r="I34" s="104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81.75" customHeight="1" x14ac:dyDescent="0.3">
      <c r="A35" s="99" t="str">
        <f t="shared" si="0"/>
        <v>[ShoppingCart-27]</v>
      </c>
      <c r="B35" s="100" t="s">
        <v>191</v>
      </c>
      <c r="C35" s="100" t="s">
        <v>192</v>
      </c>
      <c r="D35" s="100" t="s">
        <v>193</v>
      </c>
      <c r="E35" s="100" t="s">
        <v>121</v>
      </c>
      <c r="F35" s="101" t="s">
        <v>94</v>
      </c>
      <c r="G35" s="102"/>
      <c r="H35" s="103" t="s">
        <v>194</v>
      </c>
      <c r="I35" s="104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94.5" customHeight="1" x14ac:dyDescent="0.3">
      <c r="A36" s="99" t="str">
        <f t="shared" si="0"/>
        <v>[ShoppingCart-28]</v>
      </c>
      <c r="B36" s="100" t="s">
        <v>195</v>
      </c>
      <c r="C36" s="100" t="s">
        <v>196</v>
      </c>
      <c r="D36" s="100" t="s">
        <v>197</v>
      </c>
      <c r="E36" s="100" t="s">
        <v>181</v>
      </c>
      <c r="F36" s="101" t="s">
        <v>94</v>
      </c>
      <c r="G36" s="102"/>
      <c r="H36" s="103"/>
      <c r="I36" s="104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81.75" customHeight="1" x14ac:dyDescent="0.3">
      <c r="A37" s="99" t="str">
        <f t="shared" si="0"/>
        <v>[ShoppingCart-29]</v>
      </c>
      <c r="B37" s="100" t="s">
        <v>198</v>
      </c>
      <c r="C37" s="100" t="s">
        <v>199</v>
      </c>
      <c r="D37" s="100" t="s">
        <v>200</v>
      </c>
      <c r="E37" s="100" t="s">
        <v>121</v>
      </c>
      <c r="F37" s="101" t="s">
        <v>94</v>
      </c>
      <c r="G37" s="102"/>
      <c r="H37" s="103"/>
      <c r="I37" s="104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47" customHeight="1" x14ac:dyDescent="0.3">
      <c r="A38" s="99" t="str">
        <f t="shared" si="0"/>
        <v>[ShoppingCart-30]</v>
      </c>
      <c r="B38" s="100" t="s">
        <v>201</v>
      </c>
      <c r="C38" s="100" t="s">
        <v>202</v>
      </c>
      <c r="D38" s="100" t="s">
        <v>203</v>
      </c>
      <c r="E38" s="100" t="s">
        <v>204</v>
      </c>
      <c r="F38" s="101" t="s">
        <v>94</v>
      </c>
      <c r="G38" s="102"/>
      <c r="H38" s="103" t="s">
        <v>158</v>
      </c>
      <c r="I38" s="104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3">
      <c r="A39" s="20"/>
      <c r="B39" s="20"/>
      <c r="C39" s="20"/>
      <c r="D39" s="20"/>
      <c r="E39" s="20"/>
      <c r="F39" s="20"/>
      <c r="G39" s="20"/>
      <c r="H39" s="20"/>
      <c r="I39" s="104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3">
      <c r="A40" s="20"/>
      <c r="B40" s="20"/>
      <c r="C40" s="20"/>
      <c r="D40" s="20"/>
      <c r="E40" s="20"/>
      <c r="F40" s="20"/>
      <c r="G40" s="20"/>
      <c r="H40" s="20"/>
      <c r="I40" s="104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3">
      <c r="A41" s="20"/>
      <c r="B41" s="20"/>
      <c r="C41" s="20"/>
      <c r="D41" s="20"/>
      <c r="E41" s="20"/>
      <c r="F41" s="20"/>
      <c r="G41" s="20"/>
      <c r="H41" s="20"/>
      <c r="I41" s="104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3">
      <c r="A42" s="20"/>
      <c r="B42" s="20"/>
      <c r="C42" s="20"/>
      <c r="D42" s="20"/>
      <c r="E42" s="20"/>
      <c r="F42" s="20"/>
      <c r="G42" s="20"/>
      <c r="H42" s="20"/>
      <c r="I42" s="104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3">
      <c r="A43" s="20"/>
      <c r="B43" s="20"/>
      <c r="C43" s="20"/>
      <c r="D43" s="20"/>
      <c r="E43" s="20"/>
      <c r="F43" s="20"/>
      <c r="G43" s="20"/>
      <c r="H43" s="20"/>
      <c r="I43" s="104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3">
      <c r="A44" s="20"/>
      <c r="B44" s="20"/>
      <c r="C44" s="20"/>
      <c r="D44" s="20"/>
      <c r="E44" s="20"/>
      <c r="F44" s="20"/>
      <c r="G44" s="20"/>
      <c r="H44" s="20"/>
      <c r="I44" s="104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3">
      <c r="A45" s="20"/>
      <c r="B45" s="20"/>
      <c r="C45" s="20"/>
      <c r="D45" s="20"/>
      <c r="E45" s="20"/>
      <c r="F45" s="20"/>
      <c r="G45" s="20"/>
      <c r="H45" s="20"/>
      <c r="I45" s="104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3">
      <c r="A46" s="20"/>
      <c r="B46" s="20"/>
      <c r="C46" s="20"/>
      <c r="D46" s="20"/>
      <c r="E46" s="20"/>
      <c r="F46" s="20"/>
      <c r="G46" s="20"/>
      <c r="H46" s="20"/>
      <c r="I46" s="104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3">
      <c r="A47" s="20"/>
      <c r="B47" s="20"/>
      <c r="C47" s="20"/>
      <c r="D47" s="20"/>
      <c r="E47" s="20"/>
      <c r="F47" s="20"/>
      <c r="G47" s="20"/>
      <c r="H47" s="20"/>
      <c r="I47" s="104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3">
      <c r="A48" s="20"/>
      <c r="B48" s="20"/>
      <c r="C48" s="20"/>
      <c r="D48" s="20"/>
      <c r="E48" s="20"/>
      <c r="F48" s="20"/>
      <c r="G48" s="20"/>
      <c r="H48" s="20"/>
      <c r="I48" s="104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3">
      <c r="A49" s="20"/>
      <c r="B49" s="20"/>
      <c r="C49" s="20"/>
      <c r="D49" s="20"/>
      <c r="E49" s="20"/>
      <c r="F49" s="20"/>
      <c r="G49" s="20"/>
      <c r="H49" s="20"/>
      <c r="I49" s="104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3">
      <c r="A50" s="20"/>
      <c r="B50" s="20"/>
      <c r="C50" s="20"/>
      <c r="D50" s="20"/>
      <c r="E50" s="20"/>
      <c r="F50" s="20"/>
      <c r="G50" s="20"/>
      <c r="H50" s="20"/>
      <c r="I50" s="104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3">
      <c r="A51" s="20"/>
      <c r="B51" s="20"/>
      <c r="C51" s="20"/>
      <c r="D51" s="20"/>
      <c r="E51" s="20"/>
      <c r="F51" s="20"/>
      <c r="G51" s="20"/>
      <c r="H51" s="20"/>
      <c r="I51" s="104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3">
      <c r="A52" s="20"/>
      <c r="B52" s="20"/>
      <c r="C52" s="20"/>
      <c r="D52" s="20"/>
      <c r="E52" s="20"/>
      <c r="F52" s="20"/>
      <c r="G52" s="20"/>
      <c r="H52" s="20"/>
      <c r="I52" s="104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3">
      <c r="A53" s="20"/>
      <c r="B53" s="20"/>
      <c r="C53" s="20"/>
      <c r="D53" s="20"/>
      <c r="E53" s="20"/>
      <c r="F53" s="20"/>
      <c r="G53" s="20"/>
      <c r="H53" s="20"/>
      <c r="I53" s="104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3">
      <c r="A54" s="20"/>
      <c r="B54" s="20"/>
      <c r="C54" s="20"/>
      <c r="D54" s="20"/>
      <c r="E54" s="20"/>
      <c r="F54" s="20"/>
      <c r="G54" s="20"/>
      <c r="H54" s="20"/>
      <c r="I54" s="104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3">
      <c r="A55" s="20"/>
      <c r="B55" s="20"/>
      <c r="C55" s="20"/>
      <c r="D55" s="20"/>
      <c r="E55" s="20"/>
      <c r="F55" s="20"/>
      <c r="G55" s="20"/>
      <c r="H55" s="20"/>
      <c r="I55" s="104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3">
      <c r="A56" s="20"/>
      <c r="B56" s="20"/>
      <c r="C56" s="20"/>
      <c r="D56" s="20"/>
      <c r="E56" s="20"/>
      <c r="F56" s="20"/>
      <c r="G56" s="20"/>
      <c r="H56" s="20"/>
      <c r="I56" s="104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3">
      <c r="A57" s="20"/>
      <c r="B57" s="20"/>
      <c r="C57" s="20"/>
      <c r="D57" s="20"/>
      <c r="E57" s="20"/>
      <c r="F57" s="20"/>
      <c r="G57" s="20"/>
      <c r="H57" s="20"/>
      <c r="I57" s="104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3">
      <c r="A58" s="20"/>
      <c r="B58" s="20"/>
      <c r="C58" s="20"/>
      <c r="D58" s="20"/>
      <c r="E58" s="20"/>
      <c r="F58" s="20"/>
      <c r="G58" s="20"/>
      <c r="H58" s="20"/>
      <c r="I58" s="104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3">
      <c r="A59" s="20"/>
      <c r="B59" s="20"/>
      <c r="C59" s="20"/>
      <c r="D59" s="20"/>
      <c r="E59" s="20"/>
      <c r="F59" s="20"/>
      <c r="G59" s="20"/>
      <c r="H59" s="20"/>
      <c r="I59" s="104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3">
      <c r="A60" s="20"/>
      <c r="B60" s="20"/>
      <c r="C60" s="20"/>
      <c r="D60" s="20"/>
      <c r="E60" s="20"/>
      <c r="F60" s="20"/>
      <c r="G60" s="20"/>
      <c r="H60" s="20"/>
      <c r="I60" s="104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3">
      <c r="A61" s="20"/>
      <c r="B61" s="20"/>
      <c r="C61" s="20"/>
      <c r="D61" s="20"/>
      <c r="E61" s="20"/>
      <c r="F61" s="20"/>
      <c r="G61" s="20"/>
      <c r="H61" s="20"/>
      <c r="I61" s="104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3">
      <c r="A62" s="20"/>
      <c r="B62" s="20"/>
      <c r="C62" s="20"/>
      <c r="D62" s="20"/>
      <c r="E62" s="20"/>
      <c r="F62" s="20"/>
      <c r="G62" s="20"/>
      <c r="H62" s="20"/>
      <c r="I62" s="104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3">
      <c r="A63" s="20"/>
      <c r="B63" s="20"/>
      <c r="C63" s="20"/>
      <c r="D63" s="20"/>
      <c r="E63" s="20"/>
      <c r="F63" s="20"/>
      <c r="G63" s="20"/>
      <c r="H63" s="20"/>
      <c r="I63" s="104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3">
      <c r="A64" s="20"/>
      <c r="B64" s="20"/>
      <c r="C64" s="20"/>
      <c r="D64" s="20"/>
      <c r="E64" s="20"/>
      <c r="F64" s="20"/>
      <c r="G64" s="20"/>
      <c r="H64" s="20"/>
      <c r="I64" s="104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3">
      <c r="A65" s="20"/>
      <c r="B65" s="20"/>
      <c r="C65" s="20"/>
      <c r="D65" s="20"/>
      <c r="E65" s="20"/>
      <c r="F65" s="20"/>
      <c r="G65" s="20"/>
      <c r="H65" s="20"/>
      <c r="I65" s="104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3">
      <c r="A66" s="20"/>
      <c r="B66" s="20"/>
      <c r="C66" s="20"/>
      <c r="D66" s="20"/>
      <c r="E66" s="20"/>
      <c r="F66" s="20"/>
      <c r="G66" s="20"/>
      <c r="H66" s="20"/>
      <c r="I66" s="104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3">
      <c r="A67" s="20"/>
      <c r="B67" s="20"/>
      <c r="C67" s="20"/>
      <c r="D67" s="20"/>
      <c r="E67" s="20"/>
      <c r="F67" s="20"/>
      <c r="G67" s="20"/>
      <c r="H67" s="20"/>
      <c r="I67" s="104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3">
      <c r="A68" s="20"/>
      <c r="B68" s="20"/>
      <c r="C68" s="20"/>
      <c r="D68" s="20"/>
      <c r="E68" s="20"/>
      <c r="F68" s="20"/>
      <c r="G68" s="20"/>
      <c r="H68" s="20"/>
      <c r="I68" s="104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3">
      <c r="A69" s="20"/>
      <c r="B69" s="20"/>
      <c r="C69" s="20"/>
      <c r="D69" s="20"/>
      <c r="E69" s="20"/>
      <c r="F69" s="20"/>
      <c r="G69" s="20"/>
      <c r="H69" s="20"/>
      <c r="I69" s="104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3">
      <c r="A70" s="20"/>
      <c r="B70" s="20"/>
      <c r="C70" s="20"/>
      <c r="D70" s="20"/>
      <c r="E70" s="20"/>
      <c r="F70" s="20"/>
      <c r="G70" s="20"/>
      <c r="H70" s="20"/>
      <c r="I70" s="104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3">
      <c r="A71" s="20"/>
      <c r="B71" s="20"/>
      <c r="C71" s="20"/>
      <c r="D71" s="20"/>
      <c r="E71" s="20"/>
      <c r="F71" s="20"/>
      <c r="G71" s="20"/>
      <c r="H71" s="20"/>
      <c r="I71" s="104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3">
      <c r="A72" s="20"/>
      <c r="B72" s="20"/>
      <c r="C72" s="20"/>
      <c r="D72" s="20"/>
      <c r="E72" s="20"/>
      <c r="F72" s="20"/>
      <c r="G72" s="20"/>
      <c r="H72" s="20"/>
      <c r="I72" s="104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3">
      <c r="A73" s="20"/>
      <c r="B73" s="20"/>
      <c r="C73" s="20"/>
      <c r="D73" s="20"/>
      <c r="E73" s="20"/>
      <c r="F73" s="20"/>
      <c r="G73" s="20"/>
      <c r="H73" s="20"/>
      <c r="I73" s="104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3">
      <c r="A74" s="20"/>
      <c r="B74" s="20"/>
      <c r="C74" s="20"/>
      <c r="D74" s="20"/>
      <c r="E74" s="20"/>
      <c r="F74" s="20"/>
      <c r="G74" s="20"/>
      <c r="H74" s="20"/>
      <c r="I74" s="104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3">
      <c r="A75" s="20"/>
      <c r="B75" s="20"/>
      <c r="C75" s="20"/>
      <c r="D75" s="20"/>
      <c r="E75" s="20"/>
      <c r="F75" s="20"/>
      <c r="G75" s="20"/>
      <c r="H75" s="20"/>
      <c r="I75" s="104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3">
      <c r="A76" s="20"/>
      <c r="B76" s="20"/>
      <c r="C76" s="20"/>
      <c r="D76" s="20"/>
      <c r="E76" s="20"/>
      <c r="F76" s="20"/>
      <c r="G76" s="20"/>
      <c r="H76" s="20"/>
      <c r="I76" s="104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3">
      <c r="A77" s="20"/>
      <c r="B77" s="20"/>
      <c r="C77" s="20"/>
      <c r="D77" s="20"/>
      <c r="E77" s="20"/>
      <c r="F77" s="20"/>
      <c r="G77" s="20"/>
      <c r="H77" s="20"/>
      <c r="I77" s="104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3">
      <c r="A78" s="20"/>
      <c r="B78" s="20"/>
      <c r="C78" s="20"/>
      <c r="D78" s="20"/>
      <c r="E78" s="20"/>
      <c r="F78" s="20"/>
      <c r="G78" s="20"/>
      <c r="H78" s="20"/>
      <c r="I78" s="104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3">
      <c r="A79" s="20"/>
      <c r="B79" s="20"/>
      <c r="C79" s="20"/>
      <c r="D79" s="20"/>
      <c r="E79" s="20"/>
      <c r="F79" s="20"/>
      <c r="G79" s="20"/>
      <c r="H79" s="20"/>
      <c r="I79" s="104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3">
      <c r="A80" s="20"/>
      <c r="B80" s="20"/>
      <c r="C80" s="20"/>
      <c r="D80" s="20"/>
      <c r="E80" s="20"/>
      <c r="F80" s="20"/>
      <c r="G80" s="20"/>
      <c r="H80" s="20"/>
      <c r="I80" s="104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3">
      <c r="A81" s="20"/>
      <c r="B81" s="20"/>
      <c r="C81" s="20"/>
      <c r="D81" s="20"/>
      <c r="E81" s="20"/>
      <c r="F81" s="20"/>
      <c r="G81" s="20"/>
      <c r="H81" s="20"/>
      <c r="I81" s="104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3">
      <c r="A82" s="20"/>
      <c r="B82" s="20"/>
      <c r="C82" s="20"/>
      <c r="D82" s="20"/>
      <c r="E82" s="20"/>
      <c r="F82" s="20"/>
      <c r="G82" s="20"/>
      <c r="H82" s="20"/>
      <c r="I82" s="104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3">
      <c r="A83" s="20"/>
      <c r="B83" s="20"/>
      <c r="C83" s="20"/>
      <c r="D83" s="20"/>
      <c r="E83" s="20"/>
      <c r="F83" s="20"/>
      <c r="G83" s="20"/>
      <c r="H83" s="20"/>
      <c r="I83" s="104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3">
      <c r="A84" s="20"/>
      <c r="B84" s="20"/>
      <c r="C84" s="20"/>
      <c r="D84" s="20"/>
      <c r="E84" s="20"/>
      <c r="F84" s="20"/>
      <c r="G84" s="20"/>
      <c r="H84" s="20"/>
      <c r="I84" s="104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3">
      <c r="A85" s="20"/>
      <c r="B85" s="20"/>
      <c r="C85" s="20"/>
      <c r="D85" s="20"/>
      <c r="E85" s="20"/>
      <c r="F85" s="20"/>
      <c r="G85" s="20"/>
      <c r="H85" s="20"/>
      <c r="I85" s="104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3">
      <c r="A86" s="20"/>
      <c r="B86" s="20"/>
      <c r="C86" s="20"/>
      <c r="D86" s="20"/>
      <c r="E86" s="20"/>
      <c r="F86" s="20"/>
      <c r="G86" s="20"/>
      <c r="H86" s="20"/>
      <c r="I86" s="104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3">
      <c r="A87" s="20"/>
      <c r="B87" s="20"/>
      <c r="C87" s="20"/>
      <c r="D87" s="20"/>
      <c r="E87" s="20"/>
      <c r="F87" s="20"/>
      <c r="G87" s="20"/>
      <c r="H87" s="20"/>
      <c r="I87" s="104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3">
      <c r="A88" s="20"/>
      <c r="B88" s="20"/>
      <c r="C88" s="20"/>
      <c r="D88" s="20"/>
      <c r="E88" s="20"/>
      <c r="F88" s="20"/>
      <c r="G88" s="20"/>
      <c r="H88" s="20"/>
      <c r="I88" s="104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3">
      <c r="A89" s="20"/>
      <c r="B89" s="20"/>
      <c r="C89" s="20"/>
      <c r="D89" s="20"/>
      <c r="E89" s="20"/>
      <c r="F89" s="20"/>
      <c r="G89" s="20"/>
      <c r="H89" s="20"/>
      <c r="I89" s="104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3">
      <c r="A90" s="20"/>
      <c r="B90" s="20"/>
      <c r="C90" s="20"/>
      <c r="D90" s="20"/>
      <c r="E90" s="20"/>
      <c r="F90" s="20"/>
      <c r="G90" s="20"/>
      <c r="H90" s="20"/>
      <c r="I90" s="104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3">
      <c r="A91" s="20"/>
      <c r="B91" s="20"/>
      <c r="C91" s="20"/>
      <c r="D91" s="20"/>
      <c r="E91" s="20"/>
      <c r="F91" s="20"/>
      <c r="G91" s="20"/>
      <c r="H91" s="20"/>
      <c r="I91" s="104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3">
      <c r="A92" s="20"/>
      <c r="B92" s="20"/>
      <c r="C92" s="20"/>
      <c r="D92" s="20"/>
      <c r="E92" s="20"/>
      <c r="F92" s="20"/>
      <c r="G92" s="20"/>
      <c r="H92" s="20"/>
      <c r="I92" s="104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3">
      <c r="A93" s="20"/>
      <c r="B93" s="20"/>
      <c r="C93" s="20"/>
      <c r="D93" s="20"/>
      <c r="E93" s="20"/>
      <c r="F93" s="20"/>
      <c r="G93" s="20"/>
      <c r="H93" s="20"/>
      <c r="I93" s="104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3">
      <c r="A94" s="20"/>
      <c r="B94" s="20"/>
      <c r="C94" s="20"/>
      <c r="D94" s="20"/>
      <c r="E94" s="20"/>
      <c r="F94" s="20"/>
      <c r="G94" s="20"/>
      <c r="H94" s="20"/>
      <c r="I94" s="104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3">
      <c r="A95" s="20"/>
      <c r="B95" s="20"/>
      <c r="C95" s="20"/>
      <c r="D95" s="20"/>
      <c r="E95" s="20"/>
      <c r="F95" s="20"/>
      <c r="G95" s="20"/>
      <c r="H95" s="20"/>
      <c r="I95" s="104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3">
      <c r="A96" s="20"/>
      <c r="B96" s="20"/>
      <c r="C96" s="20"/>
      <c r="D96" s="20"/>
      <c r="E96" s="20"/>
      <c r="F96" s="20"/>
      <c r="G96" s="20"/>
      <c r="H96" s="20"/>
      <c r="I96" s="104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3">
      <c r="A97" s="20"/>
      <c r="B97" s="20"/>
      <c r="C97" s="20"/>
      <c r="D97" s="20"/>
      <c r="E97" s="20"/>
      <c r="F97" s="20"/>
      <c r="G97" s="20"/>
      <c r="H97" s="20"/>
      <c r="I97" s="104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3">
      <c r="A98" s="20"/>
      <c r="B98" s="20"/>
      <c r="C98" s="20"/>
      <c r="D98" s="20"/>
      <c r="E98" s="20"/>
      <c r="F98" s="20"/>
      <c r="G98" s="20"/>
      <c r="H98" s="20"/>
      <c r="I98" s="104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3">
      <c r="A99" s="20"/>
      <c r="B99" s="20"/>
      <c r="C99" s="20"/>
      <c r="D99" s="20"/>
      <c r="E99" s="20"/>
      <c r="F99" s="20"/>
      <c r="G99" s="20"/>
      <c r="H99" s="20"/>
      <c r="I99" s="104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104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104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104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104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104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104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104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104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104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104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104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104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104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104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104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104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104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104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104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104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104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104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104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104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104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104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104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104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104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104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104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104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104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104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104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104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104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104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104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104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104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104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104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104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104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104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104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104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104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104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104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104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104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104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104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104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104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104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104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104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104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104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104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104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104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104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104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104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104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104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104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104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104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104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104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104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104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104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104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104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104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104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104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104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104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104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104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104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104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104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104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104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104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104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104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104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104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104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104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104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104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104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104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104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104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104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104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104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104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104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104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104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104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104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104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104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104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104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3">
      <c r="A218" s="20"/>
      <c r="B218" s="20"/>
      <c r="C218" s="20"/>
      <c r="D218" s="20"/>
      <c r="E218" s="20"/>
      <c r="F218" s="20"/>
      <c r="G218" s="20"/>
      <c r="H218" s="20"/>
      <c r="I218" s="104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3">
      <c r="A219" s="20"/>
      <c r="B219" s="20"/>
      <c r="C219" s="20"/>
      <c r="D219" s="20"/>
      <c r="E219" s="20"/>
      <c r="F219" s="20"/>
      <c r="G219" s="20"/>
      <c r="H219" s="20"/>
      <c r="I219" s="104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3">
      <c r="A220" s="20"/>
      <c r="B220" s="20"/>
      <c r="C220" s="20"/>
      <c r="D220" s="20"/>
      <c r="E220" s="20"/>
      <c r="F220" s="20"/>
      <c r="G220" s="20"/>
      <c r="H220" s="20"/>
      <c r="I220" s="104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3">
      <c r="A221" s="20"/>
      <c r="B221" s="20"/>
      <c r="C221" s="20"/>
      <c r="D221" s="20"/>
      <c r="E221" s="20"/>
      <c r="F221" s="20"/>
      <c r="G221" s="20"/>
      <c r="H221" s="20"/>
      <c r="I221" s="104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3">
      <c r="A222" s="20"/>
      <c r="B222" s="20"/>
      <c r="C222" s="20"/>
      <c r="D222" s="20"/>
      <c r="E222" s="20"/>
      <c r="F222" s="20"/>
      <c r="G222" s="20"/>
      <c r="H222" s="20"/>
      <c r="I222" s="104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3">
      <c r="A223" s="20"/>
      <c r="B223" s="20"/>
      <c r="C223" s="20"/>
      <c r="D223" s="20"/>
      <c r="E223" s="20"/>
      <c r="F223" s="20"/>
      <c r="G223" s="20"/>
      <c r="H223" s="20"/>
      <c r="I223" s="104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3">
      <c r="A224" s="20"/>
      <c r="B224" s="20"/>
      <c r="C224" s="20"/>
      <c r="D224" s="20"/>
      <c r="E224" s="20"/>
      <c r="F224" s="20"/>
      <c r="G224" s="20"/>
      <c r="H224" s="20"/>
      <c r="I224" s="104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3">
      <c r="A225" s="20"/>
      <c r="B225" s="20"/>
      <c r="C225" s="20"/>
      <c r="D225" s="20"/>
      <c r="E225" s="20"/>
      <c r="F225" s="20"/>
      <c r="G225" s="20"/>
      <c r="H225" s="20"/>
      <c r="I225" s="104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3">
      <c r="A226" s="20"/>
      <c r="B226" s="20"/>
      <c r="C226" s="20"/>
      <c r="D226" s="20"/>
      <c r="E226" s="20"/>
      <c r="F226" s="20"/>
      <c r="G226" s="20"/>
      <c r="H226" s="20"/>
      <c r="I226" s="104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3">
      <c r="A227" s="20"/>
      <c r="B227" s="20"/>
      <c r="C227" s="20"/>
      <c r="D227" s="20"/>
      <c r="E227" s="20"/>
      <c r="F227" s="20"/>
      <c r="G227" s="20"/>
      <c r="H227" s="20"/>
      <c r="I227" s="104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3">
      <c r="A228" s="20"/>
      <c r="B228" s="20"/>
      <c r="C228" s="20"/>
      <c r="D228" s="20"/>
      <c r="E228" s="20"/>
      <c r="F228" s="20"/>
      <c r="G228" s="20"/>
      <c r="H228" s="20"/>
      <c r="I228" s="104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3">
      <c r="A229" s="20"/>
      <c r="B229" s="20"/>
      <c r="C229" s="20"/>
      <c r="D229" s="20"/>
      <c r="E229" s="20"/>
      <c r="F229" s="20"/>
      <c r="G229" s="20"/>
      <c r="H229" s="20"/>
      <c r="I229" s="104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3">
      <c r="A230" s="20"/>
      <c r="B230" s="20"/>
      <c r="C230" s="20"/>
      <c r="D230" s="20"/>
      <c r="E230" s="20"/>
      <c r="F230" s="20"/>
      <c r="G230" s="20"/>
      <c r="H230" s="20"/>
      <c r="I230" s="104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3">
      <c r="A231" s="20"/>
      <c r="B231" s="20"/>
      <c r="C231" s="20"/>
      <c r="D231" s="20"/>
      <c r="E231" s="20"/>
      <c r="F231" s="20"/>
      <c r="G231" s="20"/>
      <c r="H231" s="20"/>
      <c r="I231" s="104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3">
      <c r="A232" s="20"/>
      <c r="B232" s="20"/>
      <c r="C232" s="20"/>
      <c r="D232" s="20"/>
      <c r="E232" s="20"/>
      <c r="F232" s="20"/>
      <c r="G232" s="20"/>
      <c r="H232" s="20"/>
      <c r="I232" s="104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3">
      <c r="A233" s="20"/>
      <c r="B233" s="20"/>
      <c r="C233" s="20"/>
      <c r="D233" s="20"/>
      <c r="E233" s="20"/>
      <c r="F233" s="20"/>
      <c r="G233" s="20"/>
      <c r="H233" s="20"/>
      <c r="I233" s="104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3">
      <c r="A234" s="20"/>
      <c r="B234" s="20"/>
      <c r="C234" s="20"/>
      <c r="D234" s="20"/>
      <c r="E234" s="20"/>
      <c r="F234" s="20"/>
      <c r="G234" s="20"/>
      <c r="H234" s="20"/>
      <c r="I234" s="104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3">
      <c r="A235" s="20"/>
      <c r="B235" s="20"/>
      <c r="C235" s="20"/>
      <c r="D235" s="20"/>
      <c r="E235" s="20"/>
      <c r="F235" s="20"/>
      <c r="G235" s="20"/>
      <c r="H235" s="20"/>
      <c r="I235" s="104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3">
      <c r="A236" s="20"/>
      <c r="B236" s="20"/>
      <c r="C236" s="20"/>
      <c r="D236" s="20"/>
      <c r="E236" s="20"/>
      <c r="F236" s="20"/>
      <c r="G236" s="20"/>
      <c r="H236" s="20"/>
      <c r="I236" s="104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3">
      <c r="A237" s="20"/>
      <c r="B237" s="20"/>
      <c r="C237" s="20"/>
      <c r="D237" s="20"/>
      <c r="E237" s="20"/>
      <c r="F237" s="20"/>
      <c r="G237" s="20"/>
      <c r="H237" s="20"/>
      <c r="I237" s="104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3">
      <c r="A238" s="20"/>
      <c r="B238" s="20"/>
      <c r="C238" s="20"/>
      <c r="D238" s="20"/>
      <c r="E238" s="20"/>
      <c r="F238" s="20"/>
      <c r="G238" s="20"/>
      <c r="H238" s="20"/>
      <c r="I238" s="104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3">
      <c r="A239" s="20"/>
      <c r="B239" s="20"/>
      <c r="C239" s="20"/>
      <c r="D239" s="20"/>
      <c r="E239" s="20"/>
      <c r="F239" s="20"/>
      <c r="G239" s="20"/>
      <c r="H239" s="20"/>
      <c r="I239" s="104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3">
      <c r="A240" s="20"/>
      <c r="B240" s="20"/>
      <c r="C240" s="20"/>
      <c r="D240" s="20"/>
      <c r="E240" s="20"/>
      <c r="F240" s="20"/>
      <c r="G240" s="20"/>
      <c r="H240" s="20"/>
      <c r="I240" s="104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3">
      <c r="A241" s="20"/>
      <c r="B241" s="20"/>
      <c r="C241" s="20"/>
      <c r="D241" s="20"/>
      <c r="E241" s="20"/>
      <c r="F241" s="20"/>
      <c r="G241" s="20"/>
      <c r="H241" s="20"/>
      <c r="I241" s="104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3">
      <c r="A242" s="20"/>
      <c r="B242" s="20"/>
      <c r="C242" s="20"/>
      <c r="D242" s="20"/>
      <c r="E242" s="20"/>
      <c r="F242" s="20"/>
      <c r="G242" s="20"/>
      <c r="H242" s="20"/>
      <c r="I242" s="104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3">
      <c r="A243" s="20"/>
      <c r="B243" s="20"/>
      <c r="C243" s="20"/>
      <c r="D243" s="20"/>
      <c r="E243" s="20"/>
      <c r="F243" s="20"/>
      <c r="G243" s="20"/>
      <c r="H243" s="20"/>
      <c r="I243" s="104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3">
      <c r="A244" s="20"/>
      <c r="B244" s="20"/>
      <c r="C244" s="20"/>
      <c r="D244" s="20"/>
      <c r="E244" s="20"/>
      <c r="F244" s="20"/>
      <c r="G244" s="20"/>
      <c r="H244" s="20"/>
      <c r="I244" s="104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3">
      <c r="A245" s="20"/>
      <c r="B245" s="20"/>
      <c r="C245" s="20"/>
      <c r="D245" s="20"/>
      <c r="E245" s="20"/>
      <c r="F245" s="20"/>
      <c r="G245" s="20"/>
      <c r="H245" s="20"/>
      <c r="I245" s="104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3">
      <c r="A246" s="20"/>
      <c r="B246" s="20"/>
      <c r="C246" s="20"/>
      <c r="D246" s="20"/>
      <c r="E246" s="20"/>
      <c r="F246" s="20"/>
      <c r="G246" s="20"/>
      <c r="H246" s="20"/>
      <c r="I246" s="104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3">
      <c r="A247" s="20"/>
      <c r="B247" s="20"/>
      <c r="C247" s="20"/>
      <c r="D247" s="20"/>
      <c r="E247" s="20"/>
      <c r="F247" s="20"/>
      <c r="G247" s="20"/>
      <c r="H247" s="20"/>
      <c r="I247" s="104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3">
      <c r="A248" s="20"/>
      <c r="B248" s="20"/>
      <c r="C248" s="20"/>
      <c r="D248" s="20"/>
      <c r="E248" s="20"/>
      <c r="F248" s="20"/>
      <c r="G248" s="20"/>
      <c r="H248" s="20"/>
      <c r="I248" s="104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3">
      <c r="A249" s="20"/>
      <c r="B249" s="20"/>
      <c r="C249" s="20"/>
      <c r="D249" s="20"/>
      <c r="E249" s="20"/>
      <c r="F249" s="20"/>
      <c r="G249" s="20"/>
      <c r="H249" s="20"/>
      <c r="I249" s="104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3">
      <c r="A250" s="20"/>
      <c r="B250" s="20"/>
      <c r="C250" s="20"/>
      <c r="D250" s="20"/>
      <c r="E250" s="20"/>
      <c r="F250" s="20"/>
      <c r="G250" s="20"/>
      <c r="H250" s="20"/>
      <c r="I250" s="104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3">
      <c r="A251" s="20"/>
      <c r="B251" s="20"/>
      <c r="C251" s="20"/>
      <c r="D251" s="20"/>
      <c r="E251" s="20"/>
      <c r="F251" s="20"/>
      <c r="G251" s="20"/>
      <c r="H251" s="20"/>
      <c r="I251" s="104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3">
      <c r="A252" s="20"/>
      <c r="B252" s="20"/>
      <c r="C252" s="20"/>
      <c r="D252" s="20"/>
      <c r="E252" s="20"/>
      <c r="F252" s="20"/>
      <c r="G252" s="20"/>
      <c r="H252" s="20"/>
      <c r="I252" s="104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3">
      <c r="A253" s="20"/>
      <c r="B253" s="20"/>
      <c r="C253" s="20"/>
      <c r="D253" s="20"/>
      <c r="E253" s="20"/>
      <c r="F253" s="20"/>
      <c r="G253" s="20"/>
      <c r="H253" s="20"/>
      <c r="I253" s="104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3">
      <c r="A254" s="20"/>
      <c r="B254" s="20"/>
      <c r="C254" s="20"/>
      <c r="D254" s="20"/>
      <c r="E254" s="20"/>
      <c r="F254" s="20"/>
      <c r="G254" s="20"/>
      <c r="H254" s="20"/>
      <c r="I254" s="104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3">
      <c r="A255" s="20"/>
      <c r="B255" s="20"/>
      <c r="C255" s="20"/>
      <c r="D255" s="20"/>
      <c r="E255" s="20"/>
      <c r="F255" s="20"/>
      <c r="G255" s="20"/>
      <c r="H255" s="20"/>
      <c r="I255" s="104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3">
      <c r="A256" s="20"/>
      <c r="B256" s="20"/>
      <c r="C256" s="20"/>
      <c r="D256" s="20"/>
      <c r="E256" s="20"/>
      <c r="F256" s="20"/>
      <c r="G256" s="20"/>
      <c r="H256" s="20"/>
      <c r="I256" s="104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3">
      <c r="A257" s="20"/>
      <c r="B257" s="20"/>
      <c r="C257" s="20"/>
      <c r="D257" s="20"/>
      <c r="E257" s="20"/>
      <c r="F257" s="20"/>
      <c r="G257" s="20"/>
      <c r="H257" s="20"/>
      <c r="I257" s="104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3">
      <c r="A258" s="20"/>
      <c r="B258" s="20"/>
      <c r="C258" s="20"/>
      <c r="D258" s="20"/>
      <c r="E258" s="20"/>
      <c r="F258" s="20"/>
      <c r="G258" s="20"/>
      <c r="H258" s="20"/>
      <c r="I258" s="104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3">
      <c r="A259" s="20"/>
      <c r="B259" s="20"/>
      <c r="C259" s="20"/>
      <c r="D259" s="20"/>
      <c r="E259" s="20"/>
      <c r="F259" s="20"/>
      <c r="G259" s="20"/>
      <c r="H259" s="20"/>
      <c r="I259" s="104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3">
      <c r="A260" s="20"/>
      <c r="B260" s="20"/>
      <c r="C260" s="20"/>
      <c r="D260" s="20"/>
      <c r="E260" s="20"/>
      <c r="F260" s="20"/>
      <c r="G260" s="20"/>
      <c r="H260" s="20"/>
      <c r="I260" s="104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3">
      <c r="A261" s="20"/>
      <c r="B261" s="20"/>
      <c r="C261" s="20"/>
      <c r="D261" s="20"/>
      <c r="E261" s="20"/>
      <c r="F261" s="20"/>
      <c r="G261" s="20"/>
      <c r="H261" s="20"/>
      <c r="I261" s="104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3">
      <c r="A262" s="20"/>
      <c r="B262" s="20"/>
      <c r="C262" s="20"/>
      <c r="D262" s="20"/>
      <c r="E262" s="20"/>
      <c r="F262" s="20"/>
      <c r="G262" s="20"/>
      <c r="H262" s="20"/>
      <c r="I262" s="104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3">
      <c r="A263" s="20"/>
      <c r="B263" s="20"/>
      <c r="C263" s="20"/>
      <c r="D263" s="20"/>
      <c r="E263" s="20"/>
      <c r="F263" s="20"/>
      <c r="G263" s="20"/>
      <c r="H263" s="20"/>
      <c r="I263" s="104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3">
      <c r="A264" s="20"/>
      <c r="B264" s="20"/>
      <c r="C264" s="20"/>
      <c r="D264" s="20"/>
      <c r="E264" s="20"/>
      <c r="F264" s="20"/>
      <c r="G264" s="20"/>
      <c r="H264" s="20"/>
      <c r="I264" s="104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3">
      <c r="A265" s="20"/>
      <c r="B265" s="20"/>
      <c r="C265" s="20"/>
      <c r="D265" s="20"/>
      <c r="E265" s="20"/>
      <c r="F265" s="20"/>
      <c r="G265" s="20"/>
      <c r="H265" s="20"/>
      <c r="I265" s="104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3">
      <c r="A266" s="20"/>
      <c r="B266" s="20"/>
      <c r="C266" s="20"/>
      <c r="D266" s="20"/>
      <c r="E266" s="20"/>
      <c r="F266" s="20"/>
      <c r="G266" s="20"/>
      <c r="H266" s="20"/>
      <c r="I266" s="104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3">
      <c r="A267" s="20"/>
      <c r="B267" s="20"/>
      <c r="C267" s="20"/>
      <c r="D267" s="20"/>
      <c r="E267" s="20"/>
      <c r="F267" s="20"/>
      <c r="G267" s="20"/>
      <c r="H267" s="20"/>
      <c r="I267" s="104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3">
      <c r="A268" s="20"/>
      <c r="B268" s="20"/>
      <c r="C268" s="20"/>
      <c r="D268" s="20"/>
      <c r="E268" s="20"/>
      <c r="F268" s="20"/>
      <c r="G268" s="20"/>
      <c r="H268" s="20"/>
      <c r="I268" s="104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3">
      <c r="A269" s="20"/>
      <c r="B269" s="20"/>
      <c r="C269" s="20"/>
      <c r="D269" s="20"/>
      <c r="E269" s="20"/>
      <c r="F269" s="20"/>
      <c r="G269" s="20"/>
      <c r="H269" s="20"/>
      <c r="I269" s="104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3">
      <c r="A270" s="20"/>
      <c r="B270" s="20"/>
      <c r="C270" s="20"/>
      <c r="D270" s="20"/>
      <c r="E270" s="20"/>
      <c r="F270" s="20"/>
      <c r="G270" s="20"/>
      <c r="H270" s="20"/>
      <c r="I270" s="104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3">
      <c r="A271" s="20"/>
      <c r="B271" s="20"/>
      <c r="C271" s="20"/>
      <c r="D271" s="20"/>
      <c r="E271" s="20"/>
      <c r="F271" s="20"/>
      <c r="G271" s="20"/>
      <c r="H271" s="20"/>
      <c r="I271" s="104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3">
      <c r="A272" s="20"/>
      <c r="B272" s="20"/>
      <c r="C272" s="20"/>
      <c r="D272" s="20"/>
      <c r="E272" s="20"/>
      <c r="F272" s="20"/>
      <c r="G272" s="20"/>
      <c r="H272" s="20"/>
      <c r="I272" s="104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3">
      <c r="A273" s="20"/>
      <c r="B273" s="20"/>
      <c r="C273" s="20"/>
      <c r="D273" s="20"/>
      <c r="E273" s="20"/>
      <c r="F273" s="20"/>
      <c r="G273" s="20"/>
      <c r="H273" s="20"/>
      <c r="I273" s="104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3">
      <c r="A274" s="20"/>
      <c r="B274" s="20"/>
      <c r="C274" s="20"/>
      <c r="D274" s="20"/>
      <c r="E274" s="20"/>
      <c r="F274" s="20"/>
      <c r="G274" s="20"/>
      <c r="H274" s="20"/>
      <c r="I274" s="104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3">
      <c r="A275" s="20"/>
      <c r="B275" s="20"/>
      <c r="C275" s="20"/>
      <c r="D275" s="20"/>
      <c r="E275" s="20"/>
      <c r="F275" s="20"/>
      <c r="G275" s="20"/>
      <c r="H275" s="20"/>
      <c r="I275" s="104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3">
      <c r="A276" s="20"/>
      <c r="B276" s="20"/>
      <c r="C276" s="20"/>
      <c r="D276" s="20"/>
      <c r="E276" s="20"/>
      <c r="F276" s="20"/>
      <c r="G276" s="20"/>
      <c r="H276" s="20"/>
      <c r="I276" s="104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3">
      <c r="A277" s="20"/>
      <c r="B277" s="20"/>
      <c r="C277" s="20"/>
      <c r="D277" s="20"/>
      <c r="E277" s="20"/>
      <c r="F277" s="20"/>
      <c r="G277" s="20"/>
      <c r="H277" s="20"/>
      <c r="I277" s="104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3">
      <c r="A278" s="20"/>
      <c r="B278" s="20"/>
      <c r="C278" s="20"/>
      <c r="D278" s="20"/>
      <c r="E278" s="20"/>
      <c r="F278" s="20"/>
      <c r="G278" s="20"/>
      <c r="H278" s="20"/>
      <c r="I278" s="104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3">
      <c r="A279" s="20"/>
      <c r="B279" s="20"/>
      <c r="C279" s="20"/>
      <c r="D279" s="20"/>
      <c r="E279" s="20"/>
      <c r="F279" s="20"/>
      <c r="G279" s="20"/>
      <c r="H279" s="20"/>
      <c r="I279" s="104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3">
      <c r="A280" s="20"/>
      <c r="B280" s="20"/>
      <c r="C280" s="20"/>
      <c r="D280" s="20"/>
      <c r="E280" s="20"/>
      <c r="F280" s="20"/>
      <c r="G280" s="20"/>
      <c r="H280" s="20"/>
      <c r="I280" s="104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3">
      <c r="A281" s="20"/>
      <c r="B281" s="20"/>
      <c r="C281" s="20"/>
      <c r="D281" s="20"/>
      <c r="E281" s="20"/>
      <c r="F281" s="20"/>
      <c r="G281" s="20"/>
      <c r="H281" s="20"/>
      <c r="I281" s="104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3">
      <c r="A282" s="20"/>
      <c r="B282" s="20"/>
      <c r="C282" s="20"/>
      <c r="D282" s="20"/>
      <c r="E282" s="20"/>
      <c r="F282" s="20"/>
      <c r="G282" s="20"/>
      <c r="H282" s="20"/>
      <c r="I282" s="104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3">
      <c r="A283" s="20"/>
      <c r="B283" s="20"/>
      <c r="C283" s="20"/>
      <c r="D283" s="20"/>
      <c r="E283" s="20"/>
      <c r="F283" s="20"/>
      <c r="G283" s="20"/>
      <c r="H283" s="20"/>
      <c r="I283" s="104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3">
      <c r="A284" s="20"/>
      <c r="B284" s="20"/>
      <c r="C284" s="20"/>
      <c r="D284" s="20"/>
      <c r="E284" s="20"/>
      <c r="F284" s="20"/>
      <c r="G284" s="20"/>
      <c r="H284" s="20"/>
      <c r="I284" s="104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3">
      <c r="A285" s="20"/>
      <c r="B285" s="20"/>
      <c r="C285" s="20"/>
      <c r="D285" s="20"/>
      <c r="E285" s="20"/>
      <c r="F285" s="20"/>
      <c r="G285" s="20"/>
      <c r="H285" s="20"/>
      <c r="I285" s="104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3">
      <c r="A286" s="20"/>
      <c r="B286" s="20"/>
      <c r="C286" s="20"/>
      <c r="D286" s="20"/>
      <c r="E286" s="20"/>
      <c r="F286" s="20"/>
      <c r="G286" s="20"/>
      <c r="H286" s="20"/>
      <c r="I286" s="104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3">
      <c r="A287" s="20"/>
      <c r="B287" s="20"/>
      <c r="C287" s="20"/>
      <c r="D287" s="20"/>
      <c r="E287" s="20"/>
      <c r="F287" s="20"/>
      <c r="G287" s="20"/>
      <c r="H287" s="20"/>
      <c r="I287" s="104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3">
      <c r="A288" s="20"/>
      <c r="B288" s="20"/>
      <c r="C288" s="20"/>
      <c r="D288" s="20"/>
      <c r="E288" s="20"/>
      <c r="F288" s="20"/>
      <c r="G288" s="20"/>
      <c r="H288" s="20"/>
      <c r="I288" s="104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3">
      <c r="A289" s="20"/>
      <c r="B289" s="20"/>
      <c r="C289" s="20"/>
      <c r="D289" s="20"/>
      <c r="E289" s="20"/>
      <c r="F289" s="20"/>
      <c r="G289" s="20"/>
      <c r="H289" s="20"/>
      <c r="I289" s="104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3">
      <c r="A290" s="20"/>
      <c r="B290" s="20"/>
      <c r="C290" s="20"/>
      <c r="D290" s="20"/>
      <c r="E290" s="20"/>
      <c r="F290" s="20"/>
      <c r="G290" s="20"/>
      <c r="H290" s="20"/>
      <c r="I290" s="104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3">
      <c r="A291" s="20"/>
      <c r="B291" s="20"/>
      <c r="C291" s="20"/>
      <c r="D291" s="20"/>
      <c r="E291" s="20"/>
      <c r="F291" s="20"/>
      <c r="G291" s="20"/>
      <c r="H291" s="20"/>
      <c r="I291" s="104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3">
      <c r="A292" s="20"/>
      <c r="B292" s="20"/>
      <c r="C292" s="20"/>
      <c r="D292" s="20"/>
      <c r="E292" s="20"/>
      <c r="F292" s="20"/>
      <c r="G292" s="20"/>
      <c r="H292" s="20"/>
      <c r="I292" s="104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3">
      <c r="A293" s="20"/>
      <c r="B293" s="20"/>
      <c r="C293" s="20"/>
      <c r="D293" s="20"/>
      <c r="E293" s="20"/>
      <c r="F293" s="20"/>
      <c r="G293" s="20"/>
      <c r="H293" s="20"/>
      <c r="I293" s="104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3">
      <c r="A294" s="20"/>
      <c r="B294" s="20"/>
      <c r="C294" s="20"/>
      <c r="D294" s="20"/>
      <c r="E294" s="20"/>
      <c r="F294" s="20"/>
      <c r="G294" s="20"/>
      <c r="H294" s="20"/>
      <c r="I294" s="104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3">
      <c r="A295" s="20"/>
      <c r="B295" s="20"/>
      <c r="C295" s="20"/>
      <c r="D295" s="20"/>
      <c r="E295" s="20"/>
      <c r="F295" s="20"/>
      <c r="G295" s="20"/>
      <c r="H295" s="20"/>
      <c r="I295" s="104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3">
      <c r="A296" s="20"/>
      <c r="B296" s="20"/>
      <c r="C296" s="20"/>
      <c r="D296" s="20"/>
      <c r="E296" s="20"/>
      <c r="F296" s="20"/>
      <c r="G296" s="20"/>
      <c r="H296" s="20"/>
      <c r="I296" s="104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3">
      <c r="A297" s="20"/>
      <c r="B297" s="20"/>
      <c r="C297" s="20"/>
      <c r="D297" s="20"/>
      <c r="E297" s="20"/>
      <c r="F297" s="20"/>
      <c r="G297" s="20"/>
      <c r="H297" s="20"/>
      <c r="I297" s="104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3">
      <c r="A298" s="20"/>
      <c r="B298" s="20"/>
      <c r="C298" s="20"/>
      <c r="D298" s="20"/>
      <c r="E298" s="20"/>
      <c r="F298" s="20"/>
      <c r="G298" s="20"/>
      <c r="H298" s="20"/>
      <c r="I298" s="104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3">
      <c r="A299" s="20"/>
      <c r="B299" s="20"/>
      <c r="C299" s="20"/>
      <c r="D299" s="20"/>
      <c r="E299" s="20"/>
      <c r="F299" s="20"/>
      <c r="G299" s="20"/>
      <c r="H299" s="20"/>
      <c r="I299" s="104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3">
      <c r="A300" s="20"/>
      <c r="B300" s="20"/>
      <c r="C300" s="20"/>
      <c r="D300" s="20"/>
      <c r="E300" s="20"/>
      <c r="F300" s="20"/>
      <c r="G300" s="20"/>
      <c r="H300" s="20"/>
      <c r="I300" s="104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3">
      <c r="A301" s="20"/>
      <c r="B301" s="20"/>
      <c r="C301" s="20"/>
      <c r="D301" s="20"/>
      <c r="E301" s="20"/>
      <c r="F301" s="20"/>
      <c r="G301" s="20"/>
      <c r="H301" s="20"/>
      <c r="I301" s="104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3">
      <c r="A302" s="20"/>
      <c r="B302" s="20"/>
      <c r="C302" s="20"/>
      <c r="D302" s="20"/>
      <c r="E302" s="20"/>
      <c r="F302" s="20"/>
      <c r="G302" s="20"/>
      <c r="H302" s="20"/>
      <c r="I302" s="104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3">
      <c r="A303" s="20"/>
      <c r="B303" s="20"/>
      <c r="C303" s="20"/>
      <c r="D303" s="20"/>
      <c r="E303" s="20"/>
      <c r="F303" s="20"/>
      <c r="G303" s="20"/>
      <c r="H303" s="20"/>
      <c r="I303" s="104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3">
      <c r="A304" s="20"/>
      <c r="B304" s="20"/>
      <c r="C304" s="20"/>
      <c r="D304" s="20"/>
      <c r="E304" s="20"/>
      <c r="F304" s="20"/>
      <c r="G304" s="20"/>
      <c r="H304" s="20"/>
      <c r="I304" s="104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3">
      <c r="A305" s="20"/>
      <c r="B305" s="20"/>
      <c r="C305" s="20"/>
      <c r="D305" s="20"/>
      <c r="E305" s="20"/>
      <c r="F305" s="20"/>
      <c r="G305" s="20"/>
      <c r="H305" s="20"/>
      <c r="I305" s="104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3">
      <c r="A306" s="20"/>
      <c r="B306" s="20"/>
      <c r="C306" s="20"/>
      <c r="D306" s="20"/>
      <c r="E306" s="20"/>
      <c r="F306" s="20"/>
      <c r="G306" s="20"/>
      <c r="H306" s="20"/>
      <c r="I306" s="104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3">
      <c r="A307" s="20"/>
      <c r="B307" s="20"/>
      <c r="C307" s="20"/>
      <c r="D307" s="20"/>
      <c r="E307" s="20"/>
      <c r="F307" s="20"/>
      <c r="G307" s="20"/>
      <c r="H307" s="20"/>
      <c r="I307" s="104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3">
      <c r="A308" s="20"/>
      <c r="B308" s="20"/>
      <c r="C308" s="20"/>
      <c r="D308" s="20"/>
      <c r="E308" s="20"/>
      <c r="F308" s="20"/>
      <c r="G308" s="20"/>
      <c r="H308" s="20"/>
      <c r="I308" s="104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3">
      <c r="A309" s="20"/>
      <c r="B309" s="20"/>
      <c r="C309" s="20"/>
      <c r="D309" s="20"/>
      <c r="E309" s="20"/>
      <c r="F309" s="20"/>
      <c r="G309" s="20"/>
      <c r="H309" s="20"/>
      <c r="I309" s="104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3">
      <c r="A310" s="20"/>
      <c r="B310" s="20"/>
      <c r="C310" s="20"/>
      <c r="D310" s="20"/>
      <c r="E310" s="20"/>
      <c r="F310" s="20"/>
      <c r="G310" s="20"/>
      <c r="H310" s="20"/>
      <c r="I310" s="104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3">
      <c r="A311" s="20"/>
      <c r="B311" s="20"/>
      <c r="C311" s="20"/>
      <c r="D311" s="20"/>
      <c r="E311" s="20"/>
      <c r="F311" s="20"/>
      <c r="G311" s="20"/>
      <c r="H311" s="20"/>
      <c r="I311" s="104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3">
      <c r="A312" s="20"/>
      <c r="B312" s="20"/>
      <c r="C312" s="20"/>
      <c r="D312" s="20"/>
      <c r="E312" s="20"/>
      <c r="F312" s="20"/>
      <c r="G312" s="20"/>
      <c r="H312" s="20"/>
      <c r="I312" s="104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3">
      <c r="A313" s="20"/>
      <c r="B313" s="20"/>
      <c r="C313" s="20"/>
      <c r="D313" s="20"/>
      <c r="E313" s="20"/>
      <c r="F313" s="20"/>
      <c r="G313" s="20"/>
      <c r="H313" s="20"/>
      <c r="I313" s="104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3">
      <c r="A314" s="20"/>
      <c r="B314" s="20"/>
      <c r="C314" s="20"/>
      <c r="D314" s="20"/>
      <c r="E314" s="20"/>
      <c r="F314" s="20"/>
      <c r="G314" s="20"/>
      <c r="H314" s="20"/>
      <c r="I314" s="104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3">
      <c r="A315" s="20"/>
      <c r="B315" s="20"/>
      <c r="C315" s="20"/>
      <c r="D315" s="20"/>
      <c r="E315" s="20"/>
      <c r="F315" s="20"/>
      <c r="G315" s="20"/>
      <c r="H315" s="20"/>
      <c r="I315" s="104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3">
      <c r="A316" s="20"/>
      <c r="B316" s="20"/>
      <c r="C316" s="20"/>
      <c r="D316" s="20"/>
      <c r="E316" s="20"/>
      <c r="F316" s="20"/>
      <c r="G316" s="20"/>
      <c r="H316" s="20"/>
      <c r="I316" s="104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3">
      <c r="A317" s="20"/>
      <c r="B317" s="20"/>
      <c r="C317" s="20"/>
      <c r="D317" s="20"/>
      <c r="E317" s="20"/>
      <c r="F317" s="20"/>
      <c r="G317" s="20"/>
      <c r="H317" s="20"/>
      <c r="I317" s="104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3">
      <c r="A318" s="20"/>
      <c r="B318" s="20"/>
      <c r="C318" s="20"/>
      <c r="D318" s="20"/>
      <c r="E318" s="20"/>
      <c r="F318" s="20"/>
      <c r="G318" s="20"/>
      <c r="H318" s="20"/>
      <c r="I318" s="104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3">
      <c r="A319" s="20"/>
      <c r="B319" s="20"/>
      <c r="C319" s="20"/>
      <c r="D319" s="20"/>
      <c r="E319" s="20"/>
      <c r="F319" s="20"/>
      <c r="G319" s="20"/>
      <c r="H319" s="20"/>
      <c r="I319" s="104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3">
      <c r="A320" s="20"/>
      <c r="B320" s="20"/>
      <c r="C320" s="20"/>
      <c r="D320" s="20"/>
      <c r="E320" s="20"/>
      <c r="F320" s="20"/>
      <c r="G320" s="20"/>
      <c r="H320" s="20"/>
      <c r="I320" s="104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3">
      <c r="A321" s="20"/>
      <c r="B321" s="20"/>
      <c r="C321" s="20"/>
      <c r="D321" s="20"/>
      <c r="E321" s="20"/>
      <c r="F321" s="20"/>
      <c r="G321" s="20"/>
      <c r="H321" s="20"/>
      <c r="I321" s="104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3">
      <c r="A322" s="20"/>
      <c r="B322" s="20"/>
      <c r="C322" s="20"/>
      <c r="D322" s="20"/>
      <c r="E322" s="20"/>
      <c r="F322" s="20"/>
      <c r="G322" s="20"/>
      <c r="H322" s="20"/>
      <c r="I322" s="104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3">
      <c r="A323" s="20"/>
      <c r="B323" s="20"/>
      <c r="C323" s="20"/>
      <c r="D323" s="20"/>
      <c r="E323" s="20"/>
      <c r="F323" s="20"/>
      <c r="G323" s="20"/>
      <c r="H323" s="20"/>
      <c r="I323" s="104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3">
      <c r="A324" s="20"/>
      <c r="B324" s="20"/>
      <c r="C324" s="20"/>
      <c r="D324" s="20"/>
      <c r="E324" s="20"/>
      <c r="F324" s="20"/>
      <c r="G324" s="20"/>
      <c r="H324" s="20"/>
      <c r="I324" s="104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3">
      <c r="A325" s="20"/>
      <c r="B325" s="20"/>
      <c r="C325" s="20"/>
      <c r="D325" s="20"/>
      <c r="E325" s="20"/>
      <c r="F325" s="20"/>
      <c r="G325" s="20"/>
      <c r="H325" s="20"/>
      <c r="I325" s="104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3">
      <c r="A326" s="20"/>
      <c r="B326" s="20"/>
      <c r="C326" s="20"/>
      <c r="D326" s="20"/>
      <c r="E326" s="20"/>
      <c r="F326" s="20"/>
      <c r="G326" s="20"/>
      <c r="H326" s="20"/>
      <c r="I326" s="104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3">
      <c r="A327" s="20"/>
      <c r="B327" s="20"/>
      <c r="C327" s="20"/>
      <c r="D327" s="20"/>
      <c r="E327" s="20"/>
      <c r="F327" s="20"/>
      <c r="G327" s="20"/>
      <c r="H327" s="20"/>
      <c r="I327" s="104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3">
      <c r="A328" s="20"/>
      <c r="B328" s="20"/>
      <c r="C328" s="20"/>
      <c r="D328" s="20"/>
      <c r="E328" s="20"/>
      <c r="F328" s="20"/>
      <c r="G328" s="20"/>
      <c r="H328" s="20"/>
      <c r="I328" s="104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3">
      <c r="A329" s="20"/>
      <c r="B329" s="20"/>
      <c r="C329" s="20"/>
      <c r="D329" s="20"/>
      <c r="E329" s="20"/>
      <c r="F329" s="20"/>
      <c r="G329" s="20"/>
      <c r="H329" s="20"/>
      <c r="I329" s="104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3">
      <c r="A330" s="20"/>
      <c r="B330" s="20"/>
      <c r="C330" s="20"/>
      <c r="D330" s="20"/>
      <c r="E330" s="20"/>
      <c r="F330" s="20"/>
      <c r="G330" s="20"/>
      <c r="H330" s="20"/>
      <c r="I330" s="104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3">
      <c r="A331" s="20"/>
      <c r="B331" s="20"/>
      <c r="C331" s="20"/>
      <c r="D331" s="20"/>
      <c r="E331" s="20"/>
      <c r="F331" s="20"/>
      <c r="G331" s="20"/>
      <c r="H331" s="20"/>
      <c r="I331" s="104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3">
      <c r="A332" s="20"/>
      <c r="B332" s="20"/>
      <c r="C332" s="20"/>
      <c r="D332" s="20"/>
      <c r="E332" s="20"/>
      <c r="F332" s="20"/>
      <c r="G332" s="20"/>
      <c r="H332" s="20"/>
      <c r="I332" s="104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3">
      <c r="A333" s="20"/>
      <c r="B333" s="20"/>
      <c r="C333" s="20"/>
      <c r="D333" s="20"/>
      <c r="E333" s="20"/>
      <c r="F333" s="20"/>
      <c r="G333" s="20"/>
      <c r="H333" s="20"/>
      <c r="I333" s="104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3">
      <c r="A334" s="20"/>
      <c r="B334" s="20"/>
      <c r="C334" s="20"/>
      <c r="D334" s="20"/>
      <c r="E334" s="20"/>
      <c r="F334" s="20"/>
      <c r="G334" s="20"/>
      <c r="H334" s="20"/>
      <c r="I334" s="104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3">
      <c r="A335" s="20"/>
      <c r="B335" s="20"/>
      <c r="C335" s="20"/>
      <c r="D335" s="20"/>
      <c r="E335" s="20"/>
      <c r="F335" s="20"/>
      <c r="G335" s="20"/>
      <c r="H335" s="20"/>
      <c r="I335" s="104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3">
      <c r="A336" s="20"/>
      <c r="B336" s="20"/>
      <c r="C336" s="20"/>
      <c r="D336" s="20"/>
      <c r="E336" s="20"/>
      <c r="F336" s="20"/>
      <c r="G336" s="20"/>
      <c r="H336" s="20"/>
      <c r="I336" s="104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3">
      <c r="A337" s="20"/>
      <c r="B337" s="20"/>
      <c r="C337" s="20"/>
      <c r="D337" s="20"/>
      <c r="E337" s="20"/>
      <c r="F337" s="20"/>
      <c r="G337" s="20"/>
      <c r="H337" s="20"/>
      <c r="I337" s="104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3">
      <c r="A338" s="20"/>
      <c r="B338" s="20"/>
      <c r="C338" s="20"/>
      <c r="D338" s="20"/>
      <c r="E338" s="20"/>
      <c r="F338" s="20"/>
      <c r="G338" s="20"/>
      <c r="H338" s="20"/>
      <c r="I338" s="104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3">
      <c r="A339" s="20"/>
      <c r="B339" s="20"/>
      <c r="C339" s="20"/>
      <c r="D339" s="20"/>
      <c r="E339" s="20"/>
      <c r="F339" s="20"/>
      <c r="G339" s="20"/>
      <c r="H339" s="20"/>
      <c r="I339" s="104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3">
      <c r="A340" s="20"/>
      <c r="B340" s="20"/>
      <c r="C340" s="20"/>
      <c r="D340" s="20"/>
      <c r="E340" s="20"/>
      <c r="F340" s="20"/>
      <c r="G340" s="20"/>
      <c r="H340" s="20"/>
      <c r="I340" s="104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3">
      <c r="A341" s="20"/>
      <c r="B341" s="20"/>
      <c r="C341" s="20"/>
      <c r="D341" s="20"/>
      <c r="E341" s="20"/>
      <c r="F341" s="20"/>
      <c r="G341" s="20"/>
      <c r="H341" s="20"/>
      <c r="I341" s="104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3">
      <c r="A342" s="20"/>
      <c r="B342" s="20"/>
      <c r="C342" s="20"/>
      <c r="D342" s="20"/>
      <c r="E342" s="20"/>
      <c r="F342" s="20"/>
      <c r="G342" s="20"/>
      <c r="H342" s="20"/>
      <c r="I342" s="104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3">
      <c r="A343" s="20"/>
      <c r="B343" s="20"/>
      <c r="C343" s="20"/>
      <c r="D343" s="20"/>
      <c r="E343" s="20"/>
      <c r="F343" s="20"/>
      <c r="G343" s="20"/>
      <c r="H343" s="20"/>
      <c r="I343" s="104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3">
      <c r="A344" s="20"/>
      <c r="B344" s="20"/>
      <c r="C344" s="20"/>
      <c r="D344" s="20"/>
      <c r="E344" s="20"/>
      <c r="F344" s="20"/>
      <c r="G344" s="20"/>
      <c r="H344" s="20"/>
      <c r="I344" s="104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3">
      <c r="A345" s="20"/>
      <c r="B345" s="20"/>
      <c r="C345" s="20"/>
      <c r="D345" s="20"/>
      <c r="E345" s="20"/>
      <c r="F345" s="20"/>
      <c r="G345" s="20"/>
      <c r="H345" s="20"/>
      <c r="I345" s="104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3">
      <c r="A346" s="20"/>
      <c r="B346" s="20"/>
      <c r="C346" s="20"/>
      <c r="D346" s="20"/>
      <c r="E346" s="20"/>
      <c r="F346" s="20"/>
      <c r="G346" s="20"/>
      <c r="H346" s="20"/>
      <c r="I346" s="104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3">
      <c r="A347" s="20"/>
      <c r="B347" s="20"/>
      <c r="C347" s="20"/>
      <c r="D347" s="20"/>
      <c r="E347" s="20"/>
      <c r="F347" s="20"/>
      <c r="G347" s="20"/>
      <c r="H347" s="20"/>
      <c r="I347" s="104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3">
      <c r="A348" s="20"/>
      <c r="B348" s="20"/>
      <c r="C348" s="20"/>
      <c r="D348" s="20"/>
      <c r="E348" s="20"/>
      <c r="F348" s="20"/>
      <c r="G348" s="20"/>
      <c r="H348" s="20"/>
      <c r="I348" s="104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3">
      <c r="A349" s="20"/>
      <c r="B349" s="20"/>
      <c r="C349" s="20"/>
      <c r="D349" s="20"/>
      <c r="E349" s="20"/>
      <c r="F349" s="20"/>
      <c r="G349" s="20"/>
      <c r="H349" s="20"/>
      <c r="I349" s="104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3">
      <c r="A350" s="20"/>
      <c r="B350" s="20"/>
      <c r="C350" s="20"/>
      <c r="D350" s="20"/>
      <c r="E350" s="20"/>
      <c r="F350" s="20"/>
      <c r="G350" s="20"/>
      <c r="H350" s="20"/>
      <c r="I350" s="104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3">
      <c r="A351" s="20"/>
      <c r="B351" s="20"/>
      <c r="C351" s="20"/>
      <c r="D351" s="20"/>
      <c r="E351" s="20"/>
      <c r="F351" s="20"/>
      <c r="G351" s="20"/>
      <c r="H351" s="20"/>
      <c r="I351" s="104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3">
      <c r="A352" s="20"/>
      <c r="B352" s="20"/>
      <c r="C352" s="20"/>
      <c r="D352" s="20"/>
      <c r="E352" s="20"/>
      <c r="F352" s="20"/>
      <c r="G352" s="20"/>
      <c r="H352" s="20"/>
      <c r="I352" s="104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3">
      <c r="A353" s="20"/>
      <c r="B353" s="20"/>
      <c r="C353" s="20"/>
      <c r="D353" s="20"/>
      <c r="E353" s="20"/>
      <c r="F353" s="20"/>
      <c r="G353" s="20"/>
      <c r="H353" s="20"/>
      <c r="I353" s="104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3">
      <c r="A354" s="20"/>
      <c r="B354" s="20"/>
      <c r="C354" s="20"/>
      <c r="D354" s="20"/>
      <c r="E354" s="20"/>
      <c r="F354" s="20"/>
      <c r="G354" s="20"/>
      <c r="H354" s="20"/>
      <c r="I354" s="104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3">
      <c r="A355" s="20"/>
      <c r="B355" s="20"/>
      <c r="C355" s="20"/>
      <c r="D355" s="20"/>
      <c r="E355" s="20"/>
      <c r="F355" s="20"/>
      <c r="G355" s="20"/>
      <c r="H355" s="20"/>
      <c r="I355" s="104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3">
      <c r="A356" s="20"/>
      <c r="B356" s="20"/>
      <c r="C356" s="20"/>
      <c r="D356" s="20"/>
      <c r="E356" s="20"/>
      <c r="F356" s="20"/>
      <c r="G356" s="20"/>
      <c r="H356" s="20"/>
      <c r="I356" s="104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3">
      <c r="A357" s="20"/>
      <c r="B357" s="20"/>
      <c r="C357" s="20"/>
      <c r="D357" s="20"/>
      <c r="E357" s="20"/>
      <c r="F357" s="20"/>
      <c r="G357" s="20"/>
      <c r="H357" s="20"/>
      <c r="I357" s="104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3">
      <c r="A358" s="20"/>
      <c r="B358" s="20"/>
      <c r="C358" s="20"/>
      <c r="D358" s="20"/>
      <c r="E358" s="20"/>
      <c r="F358" s="20"/>
      <c r="G358" s="20"/>
      <c r="H358" s="20"/>
      <c r="I358" s="104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3">
      <c r="A359" s="20"/>
      <c r="B359" s="20"/>
      <c r="C359" s="20"/>
      <c r="D359" s="20"/>
      <c r="E359" s="20"/>
      <c r="F359" s="20"/>
      <c r="G359" s="20"/>
      <c r="H359" s="20"/>
      <c r="I359" s="104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3">
      <c r="A360" s="20"/>
      <c r="B360" s="20"/>
      <c r="C360" s="20"/>
      <c r="D360" s="20"/>
      <c r="E360" s="20"/>
      <c r="F360" s="20"/>
      <c r="G360" s="20"/>
      <c r="H360" s="20"/>
      <c r="I360" s="104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3">
      <c r="A361" s="20"/>
      <c r="B361" s="20"/>
      <c r="C361" s="20"/>
      <c r="D361" s="20"/>
      <c r="E361" s="20"/>
      <c r="F361" s="20"/>
      <c r="G361" s="20"/>
      <c r="H361" s="20"/>
      <c r="I361" s="104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3">
      <c r="A362" s="20"/>
      <c r="B362" s="20"/>
      <c r="C362" s="20"/>
      <c r="D362" s="20"/>
      <c r="E362" s="20"/>
      <c r="F362" s="20"/>
      <c r="G362" s="20"/>
      <c r="H362" s="20"/>
      <c r="I362" s="104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3">
      <c r="A363" s="20"/>
      <c r="B363" s="20"/>
      <c r="C363" s="20"/>
      <c r="D363" s="20"/>
      <c r="E363" s="20"/>
      <c r="F363" s="20"/>
      <c r="G363" s="20"/>
      <c r="H363" s="20"/>
      <c r="I363" s="104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3">
      <c r="A364" s="20"/>
      <c r="B364" s="20"/>
      <c r="C364" s="20"/>
      <c r="D364" s="20"/>
      <c r="E364" s="20"/>
      <c r="F364" s="20"/>
      <c r="G364" s="20"/>
      <c r="H364" s="20"/>
      <c r="I364" s="104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3">
      <c r="A365" s="20"/>
      <c r="B365" s="20"/>
      <c r="C365" s="20"/>
      <c r="D365" s="20"/>
      <c r="E365" s="20"/>
      <c r="F365" s="20"/>
      <c r="G365" s="20"/>
      <c r="H365" s="20"/>
      <c r="I365" s="104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3">
      <c r="A366" s="20"/>
      <c r="B366" s="20"/>
      <c r="C366" s="20"/>
      <c r="D366" s="20"/>
      <c r="E366" s="20"/>
      <c r="F366" s="20"/>
      <c r="G366" s="20"/>
      <c r="H366" s="20"/>
      <c r="I366" s="104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3">
      <c r="A367" s="20"/>
      <c r="B367" s="20"/>
      <c r="C367" s="20"/>
      <c r="D367" s="20"/>
      <c r="E367" s="20"/>
      <c r="F367" s="20"/>
      <c r="G367" s="20"/>
      <c r="H367" s="20"/>
      <c r="I367" s="104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3">
      <c r="A368" s="20"/>
      <c r="B368" s="20"/>
      <c r="C368" s="20"/>
      <c r="D368" s="20"/>
      <c r="E368" s="20"/>
      <c r="F368" s="20"/>
      <c r="G368" s="20"/>
      <c r="H368" s="20"/>
      <c r="I368" s="104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3">
      <c r="A369" s="20"/>
      <c r="B369" s="20"/>
      <c r="C369" s="20"/>
      <c r="D369" s="20"/>
      <c r="E369" s="20"/>
      <c r="F369" s="20"/>
      <c r="G369" s="20"/>
      <c r="H369" s="20"/>
      <c r="I369" s="104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3">
      <c r="A370" s="20"/>
      <c r="B370" s="20"/>
      <c r="C370" s="20"/>
      <c r="D370" s="20"/>
      <c r="E370" s="20"/>
      <c r="F370" s="20"/>
      <c r="G370" s="20"/>
      <c r="H370" s="20"/>
      <c r="I370" s="104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3">
      <c r="A371" s="20"/>
      <c r="B371" s="20"/>
      <c r="C371" s="20"/>
      <c r="D371" s="20"/>
      <c r="E371" s="20"/>
      <c r="F371" s="20"/>
      <c r="G371" s="20"/>
      <c r="H371" s="20"/>
      <c r="I371" s="104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3">
      <c r="A372" s="20"/>
      <c r="B372" s="20"/>
      <c r="C372" s="20"/>
      <c r="D372" s="20"/>
      <c r="E372" s="20"/>
      <c r="F372" s="20"/>
      <c r="G372" s="20"/>
      <c r="H372" s="20"/>
      <c r="I372" s="104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3">
      <c r="A373" s="20"/>
      <c r="B373" s="20"/>
      <c r="C373" s="20"/>
      <c r="D373" s="20"/>
      <c r="E373" s="20"/>
      <c r="F373" s="20"/>
      <c r="G373" s="20"/>
      <c r="H373" s="20"/>
      <c r="I373" s="104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3">
      <c r="A374" s="20"/>
      <c r="B374" s="20"/>
      <c r="C374" s="20"/>
      <c r="D374" s="20"/>
      <c r="E374" s="20"/>
      <c r="F374" s="20"/>
      <c r="G374" s="20"/>
      <c r="H374" s="20"/>
      <c r="I374" s="104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3">
      <c r="A375" s="20"/>
      <c r="B375" s="20"/>
      <c r="C375" s="20"/>
      <c r="D375" s="20"/>
      <c r="E375" s="20"/>
      <c r="F375" s="20"/>
      <c r="G375" s="20"/>
      <c r="H375" s="20"/>
      <c r="I375" s="104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3">
      <c r="A376" s="20"/>
      <c r="B376" s="20"/>
      <c r="C376" s="20"/>
      <c r="D376" s="20"/>
      <c r="E376" s="20"/>
      <c r="F376" s="20"/>
      <c r="G376" s="20"/>
      <c r="H376" s="20"/>
      <c r="I376" s="104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3">
      <c r="A377" s="20"/>
      <c r="B377" s="20"/>
      <c r="C377" s="20"/>
      <c r="D377" s="20"/>
      <c r="E377" s="20"/>
      <c r="F377" s="20"/>
      <c r="G377" s="20"/>
      <c r="H377" s="20"/>
      <c r="I377" s="104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3">
      <c r="A378" s="20"/>
      <c r="B378" s="20"/>
      <c r="C378" s="20"/>
      <c r="D378" s="20"/>
      <c r="E378" s="20"/>
      <c r="F378" s="20"/>
      <c r="G378" s="20"/>
      <c r="H378" s="20"/>
      <c r="I378" s="104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3">
      <c r="A379" s="20"/>
      <c r="B379" s="20"/>
      <c r="C379" s="20"/>
      <c r="D379" s="20"/>
      <c r="E379" s="20"/>
      <c r="F379" s="20"/>
      <c r="G379" s="20"/>
      <c r="H379" s="20"/>
      <c r="I379" s="104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3">
      <c r="A380" s="20"/>
      <c r="B380" s="20"/>
      <c r="C380" s="20"/>
      <c r="D380" s="20"/>
      <c r="E380" s="20"/>
      <c r="F380" s="20"/>
      <c r="G380" s="20"/>
      <c r="H380" s="20"/>
      <c r="I380" s="104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3">
      <c r="A381" s="20"/>
      <c r="B381" s="20"/>
      <c r="C381" s="20"/>
      <c r="D381" s="20"/>
      <c r="E381" s="20"/>
      <c r="F381" s="20"/>
      <c r="G381" s="20"/>
      <c r="H381" s="20"/>
      <c r="I381" s="104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3">
      <c r="A382" s="20"/>
      <c r="B382" s="20"/>
      <c r="C382" s="20"/>
      <c r="D382" s="20"/>
      <c r="E382" s="20"/>
      <c r="F382" s="20"/>
      <c r="G382" s="20"/>
      <c r="H382" s="20"/>
      <c r="I382" s="104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3">
      <c r="A383" s="20"/>
      <c r="B383" s="20"/>
      <c r="C383" s="20"/>
      <c r="D383" s="20"/>
      <c r="E383" s="20"/>
      <c r="F383" s="20"/>
      <c r="G383" s="20"/>
      <c r="H383" s="20"/>
      <c r="I383" s="104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3">
      <c r="A384" s="20"/>
      <c r="B384" s="20"/>
      <c r="C384" s="20"/>
      <c r="D384" s="20"/>
      <c r="E384" s="20"/>
      <c r="F384" s="20"/>
      <c r="G384" s="20"/>
      <c r="H384" s="20"/>
      <c r="I384" s="104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3">
      <c r="A385" s="20"/>
      <c r="B385" s="20"/>
      <c r="C385" s="20"/>
      <c r="D385" s="20"/>
      <c r="E385" s="20"/>
      <c r="F385" s="20"/>
      <c r="G385" s="20"/>
      <c r="H385" s="20"/>
      <c r="I385" s="104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3">
      <c r="A386" s="20"/>
      <c r="B386" s="20"/>
      <c r="C386" s="20"/>
      <c r="D386" s="20"/>
      <c r="E386" s="20"/>
      <c r="F386" s="20"/>
      <c r="G386" s="20"/>
      <c r="H386" s="20"/>
      <c r="I386" s="104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3">
      <c r="A387" s="20"/>
      <c r="B387" s="20"/>
      <c r="C387" s="20"/>
      <c r="D387" s="20"/>
      <c r="E387" s="20"/>
      <c r="F387" s="20"/>
      <c r="G387" s="20"/>
      <c r="H387" s="20"/>
      <c r="I387" s="104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3">
      <c r="A388" s="20"/>
      <c r="B388" s="20"/>
      <c r="C388" s="20"/>
      <c r="D388" s="20"/>
      <c r="E388" s="20"/>
      <c r="F388" s="20"/>
      <c r="G388" s="20"/>
      <c r="H388" s="20"/>
      <c r="I388" s="104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3">
      <c r="A389" s="20"/>
      <c r="B389" s="20"/>
      <c r="C389" s="20"/>
      <c r="D389" s="20"/>
      <c r="E389" s="20"/>
      <c r="F389" s="20"/>
      <c r="G389" s="20"/>
      <c r="H389" s="20"/>
      <c r="I389" s="104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3">
      <c r="A390" s="20"/>
      <c r="B390" s="20"/>
      <c r="C390" s="20"/>
      <c r="D390" s="20"/>
      <c r="E390" s="20"/>
      <c r="F390" s="20"/>
      <c r="G390" s="20"/>
      <c r="H390" s="20"/>
      <c r="I390" s="104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3">
      <c r="A391" s="20"/>
      <c r="B391" s="20"/>
      <c r="C391" s="20"/>
      <c r="D391" s="20"/>
      <c r="E391" s="20"/>
      <c r="F391" s="20"/>
      <c r="G391" s="20"/>
      <c r="H391" s="20"/>
      <c r="I391" s="104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3">
      <c r="A392" s="20"/>
      <c r="B392" s="20"/>
      <c r="C392" s="20"/>
      <c r="D392" s="20"/>
      <c r="E392" s="20"/>
      <c r="F392" s="20"/>
      <c r="G392" s="20"/>
      <c r="H392" s="20"/>
      <c r="I392" s="104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3">
      <c r="A393" s="20"/>
      <c r="B393" s="20"/>
      <c r="C393" s="20"/>
      <c r="D393" s="20"/>
      <c r="E393" s="20"/>
      <c r="F393" s="20"/>
      <c r="G393" s="20"/>
      <c r="H393" s="20"/>
      <c r="I393" s="104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3">
      <c r="A394" s="20"/>
      <c r="B394" s="20"/>
      <c r="C394" s="20"/>
      <c r="D394" s="20"/>
      <c r="E394" s="20"/>
      <c r="F394" s="20"/>
      <c r="G394" s="20"/>
      <c r="H394" s="20"/>
      <c r="I394" s="104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3">
      <c r="A395" s="20"/>
      <c r="B395" s="20"/>
      <c r="C395" s="20"/>
      <c r="D395" s="20"/>
      <c r="E395" s="20"/>
      <c r="F395" s="20"/>
      <c r="G395" s="20"/>
      <c r="H395" s="20"/>
      <c r="I395" s="104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3">
      <c r="A396" s="20"/>
      <c r="B396" s="20"/>
      <c r="C396" s="20"/>
      <c r="D396" s="20"/>
      <c r="E396" s="20"/>
      <c r="F396" s="20"/>
      <c r="G396" s="20"/>
      <c r="H396" s="20"/>
      <c r="I396" s="104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3">
      <c r="A397" s="20"/>
      <c r="B397" s="20"/>
      <c r="C397" s="20"/>
      <c r="D397" s="20"/>
      <c r="E397" s="20"/>
      <c r="F397" s="20"/>
      <c r="G397" s="20"/>
      <c r="H397" s="20"/>
      <c r="I397" s="104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3">
      <c r="A398" s="20"/>
      <c r="B398" s="20"/>
      <c r="C398" s="20"/>
      <c r="D398" s="20"/>
      <c r="E398" s="20"/>
      <c r="F398" s="20"/>
      <c r="G398" s="20"/>
      <c r="H398" s="20"/>
      <c r="I398" s="104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3">
      <c r="A399" s="20"/>
      <c r="B399" s="20"/>
      <c r="C399" s="20"/>
      <c r="D399" s="20"/>
      <c r="E399" s="20"/>
      <c r="F399" s="20"/>
      <c r="G399" s="20"/>
      <c r="H399" s="20"/>
      <c r="I399" s="104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3">
      <c r="A400" s="20"/>
      <c r="B400" s="20"/>
      <c r="C400" s="20"/>
      <c r="D400" s="20"/>
      <c r="E400" s="20"/>
      <c r="F400" s="20"/>
      <c r="G400" s="20"/>
      <c r="H400" s="20"/>
      <c r="I400" s="104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3">
      <c r="A401" s="20"/>
      <c r="B401" s="20"/>
      <c r="C401" s="20"/>
      <c r="D401" s="20"/>
      <c r="E401" s="20"/>
      <c r="F401" s="20"/>
      <c r="G401" s="20"/>
      <c r="H401" s="20"/>
      <c r="I401" s="104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3">
      <c r="A402" s="20"/>
      <c r="B402" s="20"/>
      <c r="C402" s="20"/>
      <c r="D402" s="20"/>
      <c r="E402" s="20"/>
      <c r="F402" s="20"/>
      <c r="G402" s="20"/>
      <c r="H402" s="20"/>
      <c r="I402" s="104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3">
      <c r="A403" s="20"/>
      <c r="B403" s="20"/>
      <c r="C403" s="20"/>
      <c r="D403" s="20"/>
      <c r="E403" s="20"/>
      <c r="F403" s="20"/>
      <c r="G403" s="20"/>
      <c r="H403" s="20"/>
      <c r="I403" s="104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3">
      <c r="A404" s="20"/>
      <c r="B404" s="20"/>
      <c r="C404" s="20"/>
      <c r="D404" s="20"/>
      <c r="E404" s="20"/>
      <c r="F404" s="20"/>
      <c r="G404" s="20"/>
      <c r="H404" s="20"/>
      <c r="I404" s="104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3">
      <c r="A405" s="20"/>
      <c r="B405" s="20"/>
      <c r="C405" s="20"/>
      <c r="D405" s="20"/>
      <c r="E405" s="20"/>
      <c r="F405" s="20"/>
      <c r="G405" s="20"/>
      <c r="H405" s="20"/>
      <c r="I405" s="104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3">
      <c r="A406" s="20"/>
      <c r="B406" s="20"/>
      <c r="C406" s="20"/>
      <c r="D406" s="20"/>
      <c r="E406" s="20"/>
      <c r="F406" s="20"/>
      <c r="G406" s="20"/>
      <c r="H406" s="20"/>
      <c r="I406" s="104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3">
      <c r="A407" s="20"/>
      <c r="B407" s="20"/>
      <c r="C407" s="20"/>
      <c r="D407" s="20"/>
      <c r="E407" s="20"/>
      <c r="F407" s="20"/>
      <c r="G407" s="20"/>
      <c r="H407" s="20"/>
      <c r="I407" s="104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3">
      <c r="A408" s="20"/>
      <c r="B408" s="20"/>
      <c r="C408" s="20"/>
      <c r="D408" s="20"/>
      <c r="E408" s="20"/>
      <c r="F408" s="20"/>
      <c r="G408" s="20"/>
      <c r="H408" s="20"/>
      <c r="I408" s="104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3">
      <c r="A409" s="20"/>
      <c r="B409" s="20"/>
      <c r="C409" s="20"/>
      <c r="D409" s="20"/>
      <c r="E409" s="20"/>
      <c r="F409" s="20"/>
      <c r="G409" s="20"/>
      <c r="H409" s="20"/>
      <c r="I409" s="104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3">
      <c r="A410" s="20"/>
      <c r="B410" s="20"/>
      <c r="C410" s="20"/>
      <c r="D410" s="20"/>
      <c r="E410" s="20"/>
      <c r="F410" s="20"/>
      <c r="G410" s="20"/>
      <c r="H410" s="20"/>
      <c r="I410" s="104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3">
      <c r="A411" s="20"/>
      <c r="B411" s="20"/>
      <c r="C411" s="20"/>
      <c r="D411" s="20"/>
      <c r="E411" s="20"/>
      <c r="F411" s="20"/>
      <c r="G411" s="20"/>
      <c r="H411" s="20"/>
      <c r="I411" s="104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3">
      <c r="A412" s="20"/>
      <c r="B412" s="20"/>
      <c r="C412" s="20"/>
      <c r="D412" s="20"/>
      <c r="E412" s="20"/>
      <c r="F412" s="20"/>
      <c r="G412" s="20"/>
      <c r="H412" s="20"/>
      <c r="I412" s="104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3">
      <c r="A413" s="20"/>
      <c r="B413" s="20"/>
      <c r="C413" s="20"/>
      <c r="D413" s="20"/>
      <c r="E413" s="20"/>
      <c r="F413" s="20"/>
      <c r="G413" s="20"/>
      <c r="H413" s="20"/>
      <c r="I413" s="104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3">
      <c r="A414" s="20"/>
      <c r="B414" s="20"/>
      <c r="C414" s="20"/>
      <c r="D414" s="20"/>
      <c r="E414" s="20"/>
      <c r="F414" s="20"/>
      <c r="G414" s="20"/>
      <c r="H414" s="20"/>
      <c r="I414" s="104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3">
      <c r="A415" s="20"/>
      <c r="B415" s="20"/>
      <c r="C415" s="20"/>
      <c r="D415" s="20"/>
      <c r="E415" s="20"/>
      <c r="F415" s="20"/>
      <c r="G415" s="20"/>
      <c r="H415" s="20"/>
      <c r="I415" s="104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3">
      <c r="A416" s="20"/>
      <c r="B416" s="20"/>
      <c r="C416" s="20"/>
      <c r="D416" s="20"/>
      <c r="E416" s="20"/>
      <c r="F416" s="20"/>
      <c r="G416" s="20"/>
      <c r="H416" s="20"/>
      <c r="I416" s="104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3">
      <c r="A417" s="20"/>
      <c r="B417" s="20"/>
      <c r="C417" s="20"/>
      <c r="D417" s="20"/>
      <c r="E417" s="20"/>
      <c r="F417" s="20"/>
      <c r="G417" s="20"/>
      <c r="H417" s="20"/>
      <c r="I417" s="104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3">
      <c r="A418" s="20"/>
      <c r="B418" s="20"/>
      <c r="C418" s="20"/>
      <c r="D418" s="20"/>
      <c r="E418" s="20"/>
      <c r="F418" s="20"/>
      <c r="G418" s="20"/>
      <c r="H418" s="20"/>
      <c r="I418" s="104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3">
      <c r="A419" s="20"/>
      <c r="B419" s="20"/>
      <c r="C419" s="20"/>
      <c r="D419" s="20"/>
      <c r="E419" s="20"/>
      <c r="F419" s="20"/>
      <c r="G419" s="20"/>
      <c r="H419" s="20"/>
      <c r="I419" s="104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3">
      <c r="A420" s="20"/>
      <c r="B420" s="20"/>
      <c r="C420" s="20"/>
      <c r="D420" s="20"/>
      <c r="E420" s="20"/>
      <c r="F420" s="20"/>
      <c r="G420" s="20"/>
      <c r="H420" s="20"/>
      <c r="I420" s="104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3">
      <c r="A421" s="20"/>
      <c r="B421" s="20"/>
      <c r="C421" s="20"/>
      <c r="D421" s="20"/>
      <c r="E421" s="20"/>
      <c r="F421" s="20"/>
      <c r="G421" s="20"/>
      <c r="H421" s="20"/>
      <c r="I421" s="104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3">
      <c r="A422" s="20"/>
      <c r="B422" s="20"/>
      <c r="C422" s="20"/>
      <c r="D422" s="20"/>
      <c r="E422" s="20"/>
      <c r="F422" s="20"/>
      <c r="G422" s="20"/>
      <c r="H422" s="20"/>
      <c r="I422" s="104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3">
      <c r="A423" s="20"/>
      <c r="B423" s="20"/>
      <c r="C423" s="20"/>
      <c r="D423" s="20"/>
      <c r="E423" s="20"/>
      <c r="F423" s="20"/>
      <c r="G423" s="20"/>
      <c r="H423" s="20"/>
      <c r="I423" s="104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3">
      <c r="A424" s="20"/>
      <c r="B424" s="20"/>
      <c r="C424" s="20"/>
      <c r="D424" s="20"/>
      <c r="E424" s="20"/>
      <c r="F424" s="20"/>
      <c r="G424" s="20"/>
      <c r="H424" s="20"/>
      <c r="I424" s="104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3">
      <c r="A425" s="20"/>
      <c r="B425" s="20"/>
      <c r="C425" s="20"/>
      <c r="D425" s="20"/>
      <c r="E425" s="20"/>
      <c r="F425" s="20"/>
      <c r="G425" s="20"/>
      <c r="H425" s="20"/>
      <c r="I425" s="104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3">
      <c r="A426" s="20"/>
      <c r="B426" s="20"/>
      <c r="C426" s="20"/>
      <c r="D426" s="20"/>
      <c r="E426" s="20"/>
      <c r="F426" s="20"/>
      <c r="G426" s="20"/>
      <c r="H426" s="20"/>
      <c r="I426" s="104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3">
      <c r="A427" s="20"/>
      <c r="B427" s="20"/>
      <c r="C427" s="20"/>
      <c r="D427" s="20"/>
      <c r="E427" s="20"/>
      <c r="F427" s="20"/>
      <c r="G427" s="20"/>
      <c r="H427" s="20"/>
      <c r="I427" s="104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3">
      <c r="A428" s="20"/>
      <c r="B428" s="20"/>
      <c r="C428" s="20"/>
      <c r="D428" s="20"/>
      <c r="E428" s="20"/>
      <c r="F428" s="20"/>
      <c r="G428" s="20"/>
      <c r="H428" s="20"/>
      <c r="I428" s="104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3">
      <c r="A429" s="20"/>
      <c r="B429" s="20"/>
      <c r="C429" s="20"/>
      <c r="D429" s="20"/>
      <c r="E429" s="20"/>
      <c r="F429" s="20"/>
      <c r="G429" s="20"/>
      <c r="H429" s="20"/>
      <c r="I429" s="104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3">
      <c r="A430" s="20"/>
      <c r="B430" s="20"/>
      <c r="C430" s="20"/>
      <c r="D430" s="20"/>
      <c r="E430" s="20"/>
      <c r="F430" s="20"/>
      <c r="G430" s="20"/>
      <c r="H430" s="20"/>
      <c r="I430" s="104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3">
      <c r="A431" s="20"/>
      <c r="B431" s="20"/>
      <c r="C431" s="20"/>
      <c r="D431" s="20"/>
      <c r="E431" s="20"/>
      <c r="F431" s="20"/>
      <c r="G431" s="20"/>
      <c r="H431" s="20"/>
      <c r="I431" s="104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3">
      <c r="A432" s="20"/>
      <c r="B432" s="20"/>
      <c r="C432" s="20"/>
      <c r="D432" s="20"/>
      <c r="E432" s="20"/>
      <c r="F432" s="20"/>
      <c r="G432" s="20"/>
      <c r="H432" s="20"/>
      <c r="I432" s="104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3">
      <c r="A433" s="20"/>
      <c r="B433" s="20"/>
      <c r="C433" s="20"/>
      <c r="D433" s="20"/>
      <c r="E433" s="20"/>
      <c r="F433" s="20"/>
      <c r="G433" s="20"/>
      <c r="H433" s="20"/>
      <c r="I433" s="104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3">
      <c r="A434" s="20"/>
      <c r="B434" s="20"/>
      <c r="C434" s="20"/>
      <c r="D434" s="20"/>
      <c r="E434" s="20"/>
      <c r="F434" s="20"/>
      <c r="G434" s="20"/>
      <c r="H434" s="20"/>
      <c r="I434" s="104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3">
      <c r="A435" s="20"/>
      <c r="B435" s="20"/>
      <c r="C435" s="20"/>
      <c r="D435" s="20"/>
      <c r="E435" s="20"/>
      <c r="F435" s="20"/>
      <c r="G435" s="20"/>
      <c r="H435" s="20"/>
      <c r="I435" s="104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3">
      <c r="A436" s="20"/>
      <c r="B436" s="20"/>
      <c r="C436" s="20"/>
      <c r="D436" s="20"/>
      <c r="E436" s="20"/>
      <c r="F436" s="20"/>
      <c r="G436" s="20"/>
      <c r="H436" s="20"/>
      <c r="I436" s="104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3">
      <c r="A437" s="20"/>
      <c r="B437" s="20"/>
      <c r="C437" s="20"/>
      <c r="D437" s="20"/>
      <c r="E437" s="20"/>
      <c r="F437" s="20"/>
      <c r="G437" s="20"/>
      <c r="H437" s="20"/>
      <c r="I437" s="104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3">
      <c r="A438" s="20"/>
      <c r="B438" s="20"/>
      <c r="C438" s="20"/>
      <c r="D438" s="20"/>
      <c r="E438" s="20"/>
      <c r="F438" s="20"/>
      <c r="G438" s="20"/>
      <c r="H438" s="20"/>
      <c r="I438" s="104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3">
      <c r="A439" s="20"/>
      <c r="B439" s="20"/>
      <c r="C439" s="20"/>
      <c r="D439" s="20"/>
      <c r="E439" s="20"/>
      <c r="F439" s="20"/>
      <c r="G439" s="20"/>
      <c r="H439" s="20"/>
      <c r="I439" s="104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3">
      <c r="A440" s="20"/>
      <c r="B440" s="20"/>
      <c r="C440" s="20"/>
      <c r="D440" s="20"/>
      <c r="E440" s="20"/>
      <c r="F440" s="20"/>
      <c r="G440" s="20"/>
      <c r="H440" s="20"/>
      <c r="I440" s="104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3">
      <c r="A441" s="20"/>
      <c r="B441" s="20"/>
      <c r="C441" s="20"/>
      <c r="D441" s="20"/>
      <c r="E441" s="20"/>
      <c r="F441" s="20"/>
      <c r="G441" s="20"/>
      <c r="H441" s="20"/>
      <c r="I441" s="104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3">
      <c r="A442" s="20"/>
      <c r="B442" s="20"/>
      <c r="C442" s="20"/>
      <c r="D442" s="20"/>
      <c r="E442" s="20"/>
      <c r="F442" s="20"/>
      <c r="G442" s="20"/>
      <c r="H442" s="20"/>
      <c r="I442" s="104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3">
      <c r="A443" s="20"/>
      <c r="B443" s="20"/>
      <c r="C443" s="20"/>
      <c r="D443" s="20"/>
      <c r="E443" s="20"/>
      <c r="F443" s="20"/>
      <c r="G443" s="20"/>
      <c r="H443" s="20"/>
      <c r="I443" s="104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3">
      <c r="A444" s="20"/>
      <c r="B444" s="20"/>
      <c r="C444" s="20"/>
      <c r="D444" s="20"/>
      <c r="E444" s="20"/>
      <c r="F444" s="20"/>
      <c r="G444" s="20"/>
      <c r="H444" s="20"/>
      <c r="I444" s="104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3">
      <c r="A445" s="20"/>
      <c r="B445" s="20"/>
      <c r="C445" s="20"/>
      <c r="D445" s="20"/>
      <c r="E445" s="20"/>
      <c r="F445" s="20"/>
      <c r="G445" s="20"/>
      <c r="H445" s="20"/>
      <c r="I445" s="104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3">
      <c r="A446" s="20"/>
      <c r="B446" s="20"/>
      <c r="C446" s="20"/>
      <c r="D446" s="20"/>
      <c r="E446" s="20"/>
      <c r="F446" s="20"/>
      <c r="G446" s="20"/>
      <c r="H446" s="20"/>
      <c r="I446" s="104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3">
      <c r="A447" s="20"/>
      <c r="B447" s="20"/>
      <c r="C447" s="20"/>
      <c r="D447" s="20"/>
      <c r="E447" s="20"/>
      <c r="F447" s="20"/>
      <c r="G447" s="20"/>
      <c r="H447" s="20"/>
      <c r="I447" s="104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3">
      <c r="A448" s="20"/>
      <c r="B448" s="20"/>
      <c r="C448" s="20"/>
      <c r="D448" s="20"/>
      <c r="E448" s="20"/>
      <c r="F448" s="20"/>
      <c r="G448" s="20"/>
      <c r="H448" s="20"/>
      <c r="I448" s="104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3">
      <c r="A449" s="20"/>
      <c r="B449" s="20"/>
      <c r="C449" s="20"/>
      <c r="D449" s="20"/>
      <c r="E449" s="20"/>
      <c r="F449" s="20"/>
      <c r="G449" s="20"/>
      <c r="H449" s="20"/>
      <c r="I449" s="104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3">
      <c r="A450" s="20"/>
      <c r="B450" s="20"/>
      <c r="C450" s="20"/>
      <c r="D450" s="20"/>
      <c r="E450" s="20"/>
      <c r="F450" s="20"/>
      <c r="G450" s="20"/>
      <c r="H450" s="20"/>
      <c r="I450" s="104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3">
      <c r="A451" s="20"/>
      <c r="B451" s="20"/>
      <c r="C451" s="20"/>
      <c r="D451" s="20"/>
      <c r="E451" s="20"/>
      <c r="F451" s="20"/>
      <c r="G451" s="20"/>
      <c r="H451" s="20"/>
      <c r="I451" s="104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3">
      <c r="A452" s="20"/>
      <c r="B452" s="20"/>
      <c r="C452" s="20"/>
      <c r="D452" s="20"/>
      <c r="E452" s="20"/>
      <c r="F452" s="20"/>
      <c r="G452" s="20"/>
      <c r="H452" s="20"/>
      <c r="I452" s="104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3">
      <c r="A453" s="20"/>
      <c r="B453" s="20"/>
      <c r="C453" s="20"/>
      <c r="D453" s="20"/>
      <c r="E453" s="20"/>
      <c r="F453" s="20"/>
      <c r="G453" s="20"/>
      <c r="H453" s="20"/>
      <c r="I453" s="104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3">
      <c r="A454" s="20"/>
      <c r="B454" s="20"/>
      <c r="C454" s="20"/>
      <c r="D454" s="20"/>
      <c r="E454" s="20"/>
      <c r="F454" s="20"/>
      <c r="G454" s="20"/>
      <c r="H454" s="20"/>
      <c r="I454" s="104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3">
      <c r="A455" s="20"/>
      <c r="B455" s="20"/>
      <c r="C455" s="20"/>
      <c r="D455" s="20"/>
      <c r="E455" s="20"/>
      <c r="F455" s="20"/>
      <c r="G455" s="20"/>
      <c r="H455" s="20"/>
      <c r="I455" s="104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3">
      <c r="A456" s="20"/>
      <c r="B456" s="20"/>
      <c r="C456" s="20"/>
      <c r="D456" s="20"/>
      <c r="E456" s="20"/>
      <c r="F456" s="20"/>
      <c r="G456" s="20"/>
      <c r="H456" s="20"/>
      <c r="I456" s="104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3">
      <c r="A457" s="20"/>
      <c r="B457" s="20"/>
      <c r="C457" s="20"/>
      <c r="D457" s="20"/>
      <c r="E457" s="20"/>
      <c r="F457" s="20"/>
      <c r="G457" s="20"/>
      <c r="H457" s="20"/>
      <c r="I457" s="104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3">
      <c r="A458" s="20"/>
      <c r="B458" s="20"/>
      <c r="C458" s="20"/>
      <c r="D458" s="20"/>
      <c r="E458" s="20"/>
      <c r="F458" s="20"/>
      <c r="G458" s="20"/>
      <c r="H458" s="20"/>
      <c r="I458" s="104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3">
      <c r="A459" s="20"/>
      <c r="B459" s="20"/>
      <c r="C459" s="20"/>
      <c r="D459" s="20"/>
      <c r="E459" s="20"/>
      <c r="F459" s="20"/>
      <c r="G459" s="20"/>
      <c r="H459" s="20"/>
      <c r="I459" s="104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3">
      <c r="A460" s="20"/>
      <c r="B460" s="20"/>
      <c r="C460" s="20"/>
      <c r="D460" s="20"/>
      <c r="E460" s="20"/>
      <c r="F460" s="20"/>
      <c r="G460" s="20"/>
      <c r="H460" s="20"/>
      <c r="I460" s="104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3">
      <c r="A461" s="20"/>
      <c r="B461" s="20"/>
      <c r="C461" s="20"/>
      <c r="D461" s="20"/>
      <c r="E461" s="20"/>
      <c r="F461" s="20"/>
      <c r="G461" s="20"/>
      <c r="H461" s="20"/>
      <c r="I461" s="104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3">
      <c r="A462" s="20"/>
      <c r="B462" s="20"/>
      <c r="C462" s="20"/>
      <c r="D462" s="20"/>
      <c r="E462" s="20"/>
      <c r="F462" s="20"/>
      <c r="G462" s="20"/>
      <c r="H462" s="20"/>
      <c r="I462" s="104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3">
      <c r="A463" s="20"/>
      <c r="B463" s="20"/>
      <c r="C463" s="20"/>
      <c r="D463" s="20"/>
      <c r="E463" s="20"/>
      <c r="F463" s="20"/>
      <c r="G463" s="20"/>
      <c r="H463" s="20"/>
      <c r="I463" s="104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3">
      <c r="A464" s="20"/>
      <c r="B464" s="20"/>
      <c r="C464" s="20"/>
      <c r="D464" s="20"/>
      <c r="E464" s="20"/>
      <c r="F464" s="20"/>
      <c r="G464" s="20"/>
      <c r="H464" s="20"/>
      <c r="I464" s="104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3">
      <c r="A465" s="20"/>
      <c r="B465" s="20"/>
      <c r="C465" s="20"/>
      <c r="D465" s="20"/>
      <c r="E465" s="20"/>
      <c r="F465" s="20"/>
      <c r="G465" s="20"/>
      <c r="H465" s="20"/>
      <c r="I465" s="104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3">
      <c r="A466" s="20"/>
      <c r="B466" s="20"/>
      <c r="C466" s="20"/>
      <c r="D466" s="20"/>
      <c r="E466" s="20"/>
      <c r="F466" s="20"/>
      <c r="G466" s="20"/>
      <c r="H466" s="20"/>
      <c r="I466" s="104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3">
      <c r="A467" s="20"/>
      <c r="B467" s="20"/>
      <c r="C467" s="20"/>
      <c r="D467" s="20"/>
      <c r="E467" s="20"/>
      <c r="F467" s="20"/>
      <c r="G467" s="20"/>
      <c r="H467" s="20"/>
      <c r="I467" s="104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3">
      <c r="A468" s="20"/>
      <c r="B468" s="20"/>
      <c r="C468" s="20"/>
      <c r="D468" s="20"/>
      <c r="E468" s="20"/>
      <c r="F468" s="20"/>
      <c r="G468" s="20"/>
      <c r="H468" s="20"/>
      <c r="I468" s="104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3">
      <c r="A469" s="20"/>
      <c r="B469" s="20"/>
      <c r="C469" s="20"/>
      <c r="D469" s="20"/>
      <c r="E469" s="20"/>
      <c r="F469" s="20"/>
      <c r="G469" s="20"/>
      <c r="H469" s="20"/>
      <c r="I469" s="104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3">
      <c r="A470" s="20"/>
      <c r="B470" s="20"/>
      <c r="C470" s="20"/>
      <c r="D470" s="20"/>
      <c r="E470" s="20"/>
      <c r="F470" s="20"/>
      <c r="G470" s="20"/>
      <c r="H470" s="20"/>
      <c r="I470" s="104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3">
      <c r="A471" s="20"/>
      <c r="B471" s="20"/>
      <c r="C471" s="20"/>
      <c r="D471" s="20"/>
      <c r="E471" s="20"/>
      <c r="F471" s="20"/>
      <c r="G471" s="20"/>
      <c r="H471" s="20"/>
      <c r="I471" s="104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3">
      <c r="A472" s="20"/>
      <c r="B472" s="20"/>
      <c r="C472" s="20"/>
      <c r="D472" s="20"/>
      <c r="E472" s="20"/>
      <c r="F472" s="20"/>
      <c r="G472" s="20"/>
      <c r="H472" s="20"/>
      <c r="I472" s="104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3">
      <c r="A473" s="20"/>
      <c r="B473" s="20"/>
      <c r="C473" s="20"/>
      <c r="D473" s="20"/>
      <c r="E473" s="20"/>
      <c r="F473" s="20"/>
      <c r="G473" s="20"/>
      <c r="H473" s="20"/>
      <c r="I473" s="104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3">
      <c r="A474" s="20"/>
      <c r="B474" s="20"/>
      <c r="C474" s="20"/>
      <c r="D474" s="20"/>
      <c r="E474" s="20"/>
      <c r="F474" s="20"/>
      <c r="G474" s="20"/>
      <c r="H474" s="20"/>
      <c r="I474" s="104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3">
      <c r="A475" s="20"/>
      <c r="B475" s="20"/>
      <c r="C475" s="20"/>
      <c r="D475" s="20"/>
      <c r="E475" s="20"/>
      <c r="F475" s="20"/>
      <c r="G475" s="20"/>
      <c r="H475" s="20"/>
      <c r="I475" s="104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3">
      <c r="A476" s="20"/>
      <c r="B476" s="20"/>
      <c r="C476" s="20"/>
      <c r="D476" s="20"/>
      <c r="E476" s="20"/>
      <c r="F476" s="20"/>
      <c r="G476" s="20"/>
      <c r="H476" s="20"/>
      <c r="I476" s="104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3">
      <c r="A477" s="20"/>
      <c r="B477" s="20"/>
      <c r="C477" s="20"/>
      <c r="D477" s="20"/>
      <c r="E477" s="20"/>
      <c r="F477" s="20"/>
      <c r="G477" s="20"/>
      <c r="H477" s="20"/>
      <c r="I477" s="104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3">
      <c r="A478" s="20"/>
      <c r="B478" s="20"/>
      <c r="C478" s="20"/>
      <c r="D478" s="20"/>
      <c r="E478" s="20"/>
      <c r="F478" s="20"/>
      <c r="G478" s="20"/>
      <c r="H478" s="20"/>
      <c r="I478" s="104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3">
      <c r="A479" s="20"/>
      <c r="B479" s="20"/>
      <c r="C479" s="20"/>
      <c r="D479" s="20"/>
      <c r="E479" s="20"/>
      <c r="F479" s="20"/>
      <c r="G479" s="20"/>
      <c r="H479" s="20"/>
      <c r="I479" s="104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3">
      <c r="A480" s="20"/>
      <c r="B480" s="20"/>
      <c r="C480" s="20"/>
      <c r="D480" s="20"/>
      <c r="E480" s="20"/>
      <c r="F480" s="20"/>
      <c r="G480" s="20"/>
      <c r="H480" s="20"/>
      <c r="I480" s="104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3">
      <c r="A481" s="20"/>
      <c r="B481" s="20"/>
      <c r="C481" s="20"/>
      <c r="D481" s="20"/>
      <c r="E481" s="20"/>
      <c r="F481" s="20"/>
      <c r="G481" s="20"/>
      <c r="H481" s="20"/>
      <c r="I481" s="104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3">
      <c r="A482" s="20"/>
      <c r="B482" s="20"/>
      <c r="C482" s="20"/>
      <c r="D482" s="20"/>
      <c r="E482" s="20"/>
      <c r="F482" s="20"/>
      <c r="G482" s="20"/>
      <c r="H482" s="20"/>
      <c r="I482" s="104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3">
      <c r="A483" s="20"/>
      <c r="B483" s="20"/>
      <c r="C483" s="20"/>
      <c r="D483" s="20"/>
      <c r="E483" s="20"/>
      <c r="F483" s="20"/>
      <c r="G483" s="20"/>
      <c r="H483" s="20"/>
      <c r="I483" s="104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3">
      <c r="A484" s="20"/>
      <c r="B484" s="20"/>
      <c r="C484" s="20"/>
      <c r="D484" s="20"/>
      <c r="E484" s="20"/>
      <c r="F484" s="20"/>
      <c r="G484" s="20"/>
      <c r="H484" s="20"/>
      <c r="I484" s="104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3">
      <c r="A485" s="20"/>
      <c r="B485" s="20"/>
      <c r="C485" s="20"/>
      <c r="D485" s="20"/>
      <c r="E485" s="20"/>
      <c r="F485" s="20"/>
      <c r="G485" s="20"/>
      <c r="H485" s="20"/>
      <c r="I485" s="104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3">
      <c r="A486" s="20"/>
      <c r="B486" s="20"/>
      <c r="C486" s="20"/>
      <c r="D486" s="20"/>
      <c r="E486" s="20"/>
      <c r="F486" s="20"/>
      <c r="G486" s="20"/>
      <c r="H486" s="20"/>
      <c r="I486" s="104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3">
      <c r="A487" s="20"/>
      <c r="B487" s="20"/>
      <c r="C487" s="20"/>
      <c r="D487" s="20"/>
      <c r="E487" s="20"/>
      <c r="F487" s="20"/>
      <c r="G487" s="20"/>
      <c r="H487" s="20"/>
      <c r="I487" s="104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3">
      <c r="A488" s="20"/>
      <c r="B488" s="20"/>
      <c r="C488" s="20"/>
      <c r="D488" s="20"/>
      <c r="E488" s="20"/>
      <c r="F488" s="20"/>
      <c r="G488" s="20"/>
      <c r="H488" s="20"/>
      <c r="I488" s="104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3">
      <c r="A489" s="20"/>
      <c r="B489" s="20"/>
      <c r="C489" s="20"/>
      <c r="D489" s="20"/>
      <c r="E489" s="20"/>
      <c r="F489" s="20"/>
      <c r="G489" s="20"/>
      <c r="H489" s="20"/>
      <c r="I489" s="104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3">
      <c r="A490" s="20"/>
      <c r="B490" s="20"/>
      <c r="C490" s="20"/>
      <c r="D490" s="20"/>
      <c r="E490" s="20"/>
      <c r="F490" s="20"/>
      <c r="G490" s="20"/>
      <c r="H490" s="20"/>
      <c r="I490" s="104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3">
      <c r="A491" s="20"/>
      <c r="B491" s="20"/>
      <c r="C491" s="20"/>
      <c r="D491" s="20"/>
      <c r="E491" s="20"/>
      <c r="F491" s="20"/>
      <c r="G491" s="20"/>
      <c r="H491" s="20"/>
      <c r="I491" s="104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3">
      <c r="A492" s="20"/>
      <c r="B492" s="20"/>
      <c r="C492" s="20"/>
      <c r="D492" s="20"/>
      <c r="E492" s="20"/>
      <c r="F492" s="20"/>
      <c r="G492" s="20"/>
      <c r="H492" s="20"/>
      <c r="I492" s="104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3">
      <c r="A493" s="20"/>
      <c r="B493" s="20"/>
      <c r="C493" s="20"/>
      <c r="D493" s="20"/>
      <c r="E493" s="20"/>
      <c r="F493" s="20"/>
      <c r="G493" s="20"/>
      <c r="H493" s="20"/>
      <c r="I493" s="104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3">
      <c r="A494" s="20"/>
      <c r="B494" s="20"/>
      <c r="C494" s="20"/>
      <c r="D494" s="20"/>
      <c r="E494" s="20"/>
      <c r="F494" s="20"/>
      <c r="G494" s="20"/>
      <c r="H494" s="20"/>
      <c r="I494" s="104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3">
      <c r="A495" s="20"/>
      <c r="B495" s="20"/>
      <c r="C495" s="20"/>
      <c r="D495" s="20"/>
      <c r="E495" s="20"/>
      <c r="F495" s="20"/>
      <c r="G495" s="20"/>
      <c r="H495" s="20"/>
      <c r="I495" s="104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3">
      <c r="A496" s="20"/>
      <c r="B496" s="20"/>
      <c r="C496" s="20"/>
      <c r="D496" s="20"/>
      <c r="E496" s="20"/>
      <c r="F496" s="20"/>
      <c r="G496" s="20"/>
      <c r="H496" s="20"/>
      <c r="I496" s="104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3">
      <c r="A497" s="20"/>
      <c r="B497" s="20"/>
      <c r="C497" s="20"/>
      <c r="D497" s="20"/>
      <c r="E497" s="20"/>
      <c r="F497" s="20"/>
      <c r="G497" s="20"/>
      <c r="H497" s="20"/>
      <c r="I497" s="104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3">
      <c r="A498" s="20"/>
      <c r="B498" s="20"/>
      <c r="C498" s="20"/>
      <c r="D498" s="20"/>
      <c r="E498" s="20"/>
      <c r="F498" s="20"/>
      <c r="G498" s="20"/>
      <c r="H498" s="20"/>
      <c r="I498" s="104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3">
      <c r="A499" s="20"/>
      <c r="B499" s="20"/>
      <c r="C499" s="20"/>
      <c r="D499" s="20"/>
      <c r="E499" s="20"/>
      <c r="F499" s="20"/>
      <c r="G499" s="20"/>
      <c r="H499" s="20"/>
      <c r="I499" s="104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3">
      <c r="A500" s="20"/>
      <c r="B500" s="20"/>
      <c r="C500" s="20"/>
      <c r="D500" s="20"/>
      <c r="E500" s="20"/>
      <c r="F500" s="20"/>
      <c r="G500" s="20"/>
      <c r="H500" s="20"/>
      <c r="I500" s="104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3">
      <c r="A501" s="20"/>
      <c r="B501" s="20"/>
      <c r="C501" s="20"/>
      <c r="D501" s="20"/>
      <c r="E501" s="20"/>
      <c r="F501" s="20"/>
      <c r="G501" s="20"/>
      <c r="H501" s="20"/>
      <c r="I501" s="104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3">
      <c r="A502" s="20"/>
      <c r="B502" s="20"/>
      <c r="C502" s="20"/>
      <c r="D502" s="20"/>
      <c r="E502" s="20"/>
      <c r="F502" s="20"/>
      <c r="G502" s="20"/>
      <c r="H502" s="20"/>
      <c r="I502" s="104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3">
      <c r="A503" s="20"/>
      <c r="B503" s="20"/>
      <c r="C503" s="20"/>
      <c r="D503" s="20"/>
      <c r="E503" s="20"/>
      <c r="F503" s="20"/>
      <c r="G503" s="20"/>
      <c r="H503" s="20"/>
      <c r="I503" s="104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3">
      <c r="A504" s="20"/>
      <c r="B504" s="20"/>
      <c r="C504" s="20"/>
      <c r="D504" s="20"/>
      <c r="E504" s="20"/>
      <c r="F504" s="20"/>
      <c r="G504" s="20"/>
      <c r="H504" s="20"/>
      <c r="I504" s="104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3">
      <c r="A505" s="20"/>
      <c r="B505" s="20"/>
      <c r="C505" s="20"/>
      <c r="D505" s="20"/>
      <c r="E505" s="20"/>
      <c r="F505" s="20"/>
      <c r="G505" s="20"/>
      <c r="H505" s="20"/>
      <c r="I505" s="104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3">
      <c r="A506" s="20"/>
      <c r="B506" s="20"/>
      <c r="C506" s="20"/>
      <c r="D506" s="20"/>
      <c r="E506" s="20"/>
      <c r="F506" s="20"/>
      <c r="G506" s="20"/>
      <c r="H506" s="20"/>
      <c r="I506" s="104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3">
      <c r="A507" s="20"/>
      <c r="B507" s="20"/>
      <c r="C507" s="20"/>
      <c r="D507" s="20"/>
      <c r="E507" s="20"/>
      <c r="F507" s="20"/>
      <c r="G507" s="20"/>
      <c r="H507" s="20"/>
      <c r="I507" s="104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3">
      <c r="A508" s="20"/>
      <c r="B508" s="20"/>
      <c r="C508" s="20"/>
      <c r="D508" s="20"/>
      <c r="E508" s="20"/>
      <c r="F508" s="20"/>
      <c r="G508" s="20"/>
      <c r="H508" s="20"/>
      <c r="I508" s="104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3">
      <c r="A509" s="20"/>
      <c r="B509" s="20"/>
      <c r="C509" s="20"/>
      <c r="D509" s="20"/>
      <c r="E509" s="20"/>
      <c r="F509" s="20"/>
      <c r="G509" s="20"/>
      <c r="H509" s="20"/>
      <c r="I509" s="104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3">
      <c r="A510" s="20"/>
      <c r="B510" s="20"/>
      <c r="C510" s="20"/>
      <c r="D510" s="20"/>
      <c r="E510" s="20"/>
      <c r="F510" s="20"/>
      <c r="G510" s="20"/>
      <c r="H510" s="20"/>
      <c r="I510" s="104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3">
      <c r="A511" s="20"/>
      <c r="B511" s="20"/>
      <c r="C511" s="20"/>
      <c r="D511" s="20"/>
      <c r="E511" s="20"/>
      <c r="F511" s="20"/>
      <c r="G511" s="20"/>
      <c r="H511" s="20"/>
      <c r="I511" s="104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3">
      <c r="A512" s="20"/>
      <c r="B512" s="20"/>
      <c r="C512" s="20"/>
      <c r="D512" s="20"/>
      <c r="E512" s="20"/>
      <c r="F512" s="20"/>
      <c r="G512" s="20"/>
      <c r="H512" s="20"/>
      <c r="I512" s="104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3">
      <c r="A513" s="20"/>
      <c r="B513" s="20"/>
      <c r="C513" s="20"/>
      <c r="D513" s="20"/>
      <c r="E513" s="20"/>
      <c r="F513" s="20"/>
      <c r="G513" s="20"/>
      <c r="H513" s="20"/>
      <c r="I513" s="104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3">
      <c r="A514" s="20"/>
      <c r="B514" s="20"/>
      <c r="C514" s="20"/>
      <c r="D514" s="20"/>
      <c r="E514" s="20"/>
      <c r="F514" s="20"/>
      <c r="G514" s="20"/>
      <c r="H514" s="20"/>
      <c r="I514" s="104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3">
      <c r="A515" s="20"/>
      <c r="B515" s="20"/>
      <c r="C515" s="20"/>
      <c r="D515" s="20"/>
      <c r="E515" s="20"/>
      <c r="F515" s="20"/>
      <c r="G515" s="20"/>
      <c r="H515" s="20"/>
      <c r="I515" s="104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3">
      <c r="A516" s="20"/>
      <c r="B516" s="20"/>
      <c r="C516" s="20"/>
      <c r="D516" s="20"/>
      <c r="E516" s="20"/>
      <c r="F516" s="20"/>
      <c r="G516" s="20"/>
      <c r="H516" s="20"/>
      <c r="I516" s="104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3">
      <c r="A517" s="20"/>
      <c r="B517" s="20"/>
      <c r="C517" s="20"/>
      <c r="D517" s="20"/>
      <c r="E517" s="20"/>
      <c r="F517" s="20"/>
      <c r="G517" s="20"/>
      <c r="H517" s="20"/>
      <c r="I517" s="104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3">
      <c r="A518" s="20"/>
      <c r="B518" s="20"/>
      <c r="C518" s="20"/>
      <c r="D518" s="20"/>
      <c r="E518" s="20"/>
      <c r="F518" s="20"/>
      <c r="G518" s="20"/>
      <c r="H518" s="20"/>
      <c r="I518" s="104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3">
      <c r="A519" s="20"/>
      <c r="B519" s="20"/>
      <c r="C519" s="20"/>
      <c r="D519" s="20"/>
      <c r="E519" s="20"/>
      <c r="F519" s="20"/>
      <c r="G519" s="20"/>
      <c r="H519" s="20"/>
      <c r="I519" s="104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3">
      <c r="A520" s="20"/>
      <c r="B520" s="20"/>
      <c r="C520" s="20"/>
      <c r="D520" s="20"/>
      <c r="E520" s="20"/>
      <c r="F520" s="20"/>
      <c r="G520" s="20"/>
      <c r="H520" s="20"/>
      <c r="I520" s="104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3">
      <c r="A521" s="20"/>
      <c r="B521" s="20"/>
      <c r="C521" s="20"/>
      <c r="D521" s="20"/>
      <c r="E521" s="20"/>
      <c r="F521" s="20"/>
      <c r="G521" s="20"/>
      <c r="H521" s="20"/>
      <c r="I521" s="104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3">
      <c r="A522" s="20"/>
      <c r="B522" s="20"/>
      <c r="C522" s="20"/>
      <c r="D522" s="20"/>
      <c r="E522" s="20"/>
      <c r="F522" s="20"/>
      <c r="G522" s="20"/>
      <c r="H522" s="20"/>
      <c r="I522" s="104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3">
      <c r="A523" s="20"/>
      <c r="B523" s="20"/>
      <c r="C523" s="20"/>
      <c r="D523" s="20"/>
      <c r="E523" s="20"/>
      <c r="F523" s="20"/>
      <c r="G523" s="20"/>
      <c r="H523" s="20"/>
      <c r="I523" s="104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3">
      <c r="A524" s="20"/>
      <c r="B524" s="20"/>
      <c r="C524" s="20"/>
      <c r="D524" s="20"/>
      <c r="E524" s="20"/>
      <c r="F524" s="20"/>
      <c r="G524" s="20"/>
      <c r="H524" s="20"/>
      <c r="I524" s="104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3">
      <c r="A525" s="20"/>
      <c r="B525" s="20"/>
      <c r="C525" s="20"/>
      <c r="D525" s="20"/>
      <c r="E525" s="20"/>
      <c r="F525" s="20"/>
      <c r="G525" s="20"/>
      <c r="H525" s="20"/>
      <c r="I525" s="104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3">
      <c r="A526" s="20"/>
      <c r="B526" s="20"/>
      <c r="C526" s="20"/>
      <c r="D526" s="20"/>
      <c r="E526" s="20"/>
      <c r="F526" s="20"/>
      <c r="G526" s="20"/>
      <c r="H526" s="20"/>
      <c r="I526" s="104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3">
      <c r="A527" s="20"/>
      <c r="B527" s="20"/>
      <c r="C527" s="20"/>
      <c r="D527" s="20"/>
      <c r="E527" s="20"/>
      <c r="F527" s="20"/>
      <c r="G527" s="20"/>
      <c r="H527" s="20"/>
      <c r="I527" s="104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3">
      <c r="A528" s="20"/>
      <c r="B528" s="20"/>
      <c r="C528" s="20"/>
      <c r="D528" s="20"/>
      <c r="E528" s="20"/>
      <c r="F528" s="20"/>
      <c r="G528" s="20"/>
      <c r="H528" s="20"/>
      <c r="I528" s="104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3">
      <c r="A529" s="20"/>
      <c r="B529" s="20"/>
      <c r="C529" s="20"/>
      <c r="D529" s="20"/>
      <c r="E529" s="20"/>
      <c r="F529" s="20"/>
      <c r="G529" s="20"/>
      <c r="H529" s="20"/>
      <c r="I529" s="104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3">
      <c r="A530" s="20"/>
      <c r="B530" s="20"/>
      <c r="C530" s="20"/>
      <c r="D530" s="20"/>
      <c r="E530" s="20"/>
      <c r="F530" s="20"/>
      <c r="G530" s="20"/>
      <c r="H530" s="20"/>
      <c r="I530" s="104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3">
      <c r="A531" s="20"/>
      <c r="B531" s="20"/>
      <c r="C531" s="20"/>
      <c r="D531" s="20"/>
      <c r="E531" s="20"/>
      <c r="F531" s="20"/>
      <c r="G531" s="20"/>
      <c r="H531" s="20"/>
      <c r="I531" s="104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3">
      <c r="A532" s="20"/>
      <c r="B532" s="20"/>
      <c r="C532" s="20"/>
      <c r="D532" s="20"/>
      <c r="E532" s="20"/>
      <c r="F532" s="20"/>
      <c r="G532" s="20"/>
      <c r="H532" s="20"/>
      <c r="I532" s="104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3">
      <c r="A533" s="20"/>
      <c r="B533" s="20"/>
      <c r="C533" s="20"/>
      <c r="D533" s="20"/>
      <c r="E533" s="20"/>
      <c r="F533" s="20"/>
      <c r="G533" s="20"/>
      <c r="H533" s="20"/>
      <c r="I533" s="104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3">
      <c r="A534" s="20"/>
      <c r="B534" s="20"/>
      <c r="C534" s="20"/>
      <c r="D534" s="20"/>
      <c r="E534" s="20"/>
      <c r="F534" s="20"/>
      <c r="G534" s="20"/>
      <c r="H534" s="20"/>
      <c r="I534" s="104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3">
      <c r="A535" s="20"/>
      <c r="B535" s="20"/>
      <c r="C535" s="20"/>
      <c r="D535" s="20"/>
      <c r="E535" s="20"/>
      <c r="F535" s="20"/>
      <c r="G535" s="20"/>
      <c r="H535" s="20"/>
      <c r="I535" s="104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3">
      <c r="A536" s="20"/>
      <c r="B536" s="20"/>
      <c r="C536" s="20"/>
      <c r="D536" s="20"/>
      <c r="E536" s="20"/>
      <c r="F536" s="20"/>
      <c r="G536" s="20"/>
      <c r="H536" s="20"/>
      <c r="I536" s="104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3">
      <c r="A537" s="20"/>
      <c r="B537" s="20"/>
      <c r="C537" s="20"/>
      <c r="D537" s="20"/>
      <c r="E537" s="20"/>
      <c r="F537" s="20"/>
      <c r="G537" s="20"/>
      <c r="H537" s="20"/>
      <c r="I537" s="104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3">
      <c r="A538" s="20"/>
      <c r="B538" s="20"/>
      <c r="C538" s="20"/>
      <c r="D538" s="20"/>
      <c r="E538" s="20"/>
      <c r="F538" s="20"/>
      <c r="G538" s="20"/>
      <c r="H538" s="20"/>
      <c r="I538" s="104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3">
      <c r="A539" s="20"/>
      <c r="B539" s="20"/>
      <c r="C539" s="20"/>
      <c r="D539" s="20"/>
      <c r="E539" s="20"/>
      <c r="F539" s="20"/>
      <c r="G539" s="20"/>
      <c r="H539" s="20"/>
      <c r="I539" s="104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3">
      <c r="A540" s="20"/>
      <c r="B540" s="20"/>
      <c r="C540" s="20"/>
      <c r="D540" s="20"/>
      <c r="E540" s="20"/>
      <c r="F540" s="20"/>
      <c r="G540" s="20"/>
      <c r="H540" s="20"/>
      <c r="I540" s="104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3">
      <c r="A541" s="20"/>
      <c r="B541" s="20"/>
      <c r="C541" s="20"/>
      <c r="D541" s="20"/>
      <c r="E541" s="20"/>
      <c r="F541" s="20"/>
      <c r="G541" s="20"/>
      <c r="H541" s="20"/>
      <c r="I541" s="104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3">
      <c r="A542" s="20"/>
      <c r="B542" s="20"/>
      <c r="C542" s="20"/>
      <c r="D542" s="20"/>
      <c r="E542" s="20"/>
      <c r="F542" s="20"/>
      <c r="G542" s="20"/>
      <c r="H542" s="20"/>
      <c r="I542" s="104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3">
      <c r="A543" s="20"/>
      <c r="B543" s="20"/>
      <c r="C543" s="20"/>
      <c r="D543" s="20"/>
      <c r="E543" s="20"/>
      <c r="F543" s="20"/>
      <c r="G543" s="20"/>
      <c r="H543" s="20"/>
      <c r="I543" s="104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3">
      <c r="A544" s="20"/>
      <c r="B544" s="20"/>
      <c r="C544" s="20"/>
      <c r="D544" s="20"/>
      <c r="E544" s="20"/>
      <c r="F544" s="20"/>
      <c r="G544" s="20"/>
      <c r="H544" s="20"/>
      <c r="I544" s="104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3">
      <c r="A545" s="20"/>
      <c r="B545" s="20"/>
      <c r="C545" s="20"/>
      <c r="D545" s="20"/>
      <c r="E545" s="20"/>
      <c r="F545" s="20"/>
      <c r="G545" s="20"/>
      <c r="H545" s="20"/>
      <c r="I545" s="104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3">
      <c r="A546" s="20"/>
      <c r="B546" s="20"/>
      <c r="C546" s="20"/>
      <c r="D546" s="20"/>
      <c r="E546" s="20"/>
      <c r="F546" s="20"/>
      <c r="G546" s="20"/>
      <c r="H546" s="20"/>
      <c r="I546" s="104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3">
      <c r="A547" s="20"/>
      <c r="B547" s="20"/>
      <c r="C547" s="20"/>
      <c r="D547" s="20"/>
      <c r="E547" s="20"/>
      <c r="F547" s="20"/>
      <c r="G547" s="20"/>
      <c r="H547" s="20"/>
      <c r="I547" s="104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3">
      <c r="A548" s="20"/>
      <c r="B548" s="20"/>
      <c r="C548" s="20"/>
      <c r="D548" s="20"/>
      <c r="E548" s="20"/>
      <c r="F548" s="20"/>
      <c r="G548" s="20"/>
      <c r="H548" s="20"/>
      <c r="I548" s="104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3">
      <c r="A549" s="20"/>
      <c r="B549" s="20"/>
      <c r="C549" s="20"/>
      <c r="D549" s="20"/>
      <c r="E549" s="20"/>
      <c r="F549" s="20"/>
      <c r="G549" s="20"/>
      <c r="H549" s="20"/>
      <c r="I549" s="104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3">
      <c r="A550" s="20"/>
      <c r="B550" s="20"/>
      <c r="C550" s="20"/>
      <c r="D550" s="20"/>
      <c r="E550" s="20"/>
      <c r="F550" s="20"/>
      <c r="G550" s="20"/>
      <c r="H550" s="20"/>
      <c r="I550" s="104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3">
      <c r="A551" s="20"/>
      <c r="B551" s="20"/>
      <c r="C551" s="20"/>
      <c r="D551" s="20"/>
      <c r="E551" s="20"/>
      <c r="F551" s="20"/>
      <c r="G551" s="20"/>
      <c r="H551" s="20"/>
      <c r="I551" s="104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3">
      <c r="A552" s="20"/>
      <c r="B552" s="20"/>
      <c r="C552" s="20"/>
      <c r="D552" s="20"/>
      <c r="E552" s="20"/>
      <c r="F552" s="20"/>
      <c r="G552" s="20"/>
      <c r="H552" s="20"/>
      <c r="I552" s="104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3">
      <c r="A553" s="20"/>
      <c r="B553" s="20"/>
      <c r="C553" s="20"/>
      <c r="D553" s="20"/>
      <c r="E553" s="20"/>
      <c r="F553" s="20"/>
      <c r="G553" s="20"/>
      <c r="H553" s="20"/>
      <c r="I553" s="104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3">
      <c r="A554" s="20"/>
      <c r="B554" s="20"/>
      <c r="C554" s="20"/>
      <c r="D554" s="20"/>
      <c r="E554" s="20"/>
      <c r="F554" s="20"/>
      <c r="G554" s="20"/>
      <c r="H554" s="20"/>
      <c r="I554" s="104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3">
      <c r="A555" s="20"/>
      <c r="B555" s="20"/>
      <c r="C555" s="20"/>
      <c r="D555" s="20"/>
      <c r="E555" s="20"/>
      <c r="F555" s="20"/>
      <c r="G555" s="20"/>
      <c r="H555" s="20"/>
      <c r="I555" s="104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3">
      <c r="A556" s="20"/>
      <c r="B556" s="20"/>
      <c r="C556" s="20"/>
      <c r="D556" s="20"/>
      <c r="E556" s="20"/>
      <c r="F556" s="20"/>
      <c r="G556" s="20"/>
      <c r="H556" s="20"/>
      <c r="I556" s="104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3">
      <c r="A557" s="20"/>
      <c r="B557" s="20"/>
      <c r="C557" s="20"/>
      <c r="D557" s="20"/>
      <c r="E557" s="20"/>
      <c r="F557" s="20"/>
      <c r="G557" s="20"/>
      <c r="H557" s="20"/>
      <c r="I557" s="104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3">
      <c r="A558" s="20"/>
      <c r="B558" s="20"/>
      <c r="C558" s="20"/>
      <c r="D558" s="20"/>
      <c r="E558" s="20"/>
      <c r="F558" s="20"/>
      <c r="G558" s="20"/>
      <c r="H558" s="20"/>
      <c r="I558" s="104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3">
      <c r="A559" s="20"/>
      <c r="B559" s="20"/>
      <c r="C559" s="20"/>
      <c r="D559" s="20"/>
      <c r="E559" s="20"/>
      <c r="F559" s="20"/>
      <c r="G559" s="20"/>
      <c r="H559" s="20"/>
      <c r="I559" s="104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3">
      <c r="A560" s="20"/>
      <c r="B560" s="20"/>
      <c r="C560" s="20"/>
      <c r="D560" s="20"/>
      <c r="E560" s="20"/>
      <c r="F560" s="20"/>
      <c r="G560" s="20"/>
      <c r="H560" s="20"/>
      <c r="I560" s="104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3">
      <c r="A561" s="20"/>
      <c r="B561" s="20"/>
      <c r="C561" s="20"/>
      <c r="D561" s="20"/>
      <c r="E561" s="20"/>
      <c r="F561" s="20"/>
      <c r="G561" s="20"/>
      <c r="H561" s="20"/>
      <c r="I561" s="104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3">
      <c r="A562" s="20"/>
      <c r="B562" s="20"/>
      <c r="C562" s="20"/>
      <c r="D562" s="20"/>
      <c r="E562" s="20"/>
      <c r="F562" s="20"/>
      <c r="G562" s="20"/>
      <c r="H562" s="20"/>
      <c r="I562" s="104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3">
      <c r="A563" s="20"/>
      <c r="B563" s="20"/>
      <c r="C563" s="20"/>
      <c r="D563" s="20"/>
      <c r="E563" s="20"/>
      <c r="F563" s="20"/>
      <c r="G563" s="20"/>
      <c r="H563" s="20"/>
      <c r="I563" s="104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3">
      <c r="A564" s="20"/>
      <c r="B564" s="20"/>
      <c r="C564" s="20"/>
      <c r="D564" s="20"/>
      <c r="E564" s="20"/>
      <c r="F564" s="20"/>
      <c r="G564" s="20"/>
      <c r="H564" s="20"/>
      <c r="I564" s="104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3">
      <c r="A565" s="20"/>
      <c r="B565" s="20"/>
      <c r="C565" s="20"/>
      <c r="D565" s="20"/>
      <c r="E565" s="20"/>
      <c r="F565" s="20"/>
      <c r="G565" s="20"/>
      <c r="H565" s="20"/>
      <c r="I565" s="104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3">
      <c r="A566" s="20"/>
      <c r="B566" s="20"/>
      <c r="C566" s="20"/>
      <c r="D566" s="20"/>
      <c r="E566" s="20"/>
      <c r="F566" s="20"/>
      <c r="G566" s="20"/>
      <c r="H566" s="20"/>
      <c r="I566" s="104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3">
      <c r="A567" s="20"/>
      <c r="B567" s="20"/>
      <c r="C567" s="20"/>
      <c r="D567" s="20"/>
      <c r="E567" s="20"/>
      <c r="F567" s="20"/>
      <c r="G567" s="20"/>
      <c r="H567" s="20"/>
      <c r="I567" s="104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3">
      <c r="A568" s="20"/>
      <c r="B568" s="20"/>
      <c r="C568" s="20"/>
      <c r="D568" s="20"/>
      <c r="E568" s="20"/>
      <c r="F568" s="20"/>
      <c r="G568" s="20"/>
      <c r="H568" s="20"/>
      <c r="I568" s="104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3">
      <c r="A569" s="20"/>
      <c r="B569" s="20"/>
      <c r="C569" s="20"/>
      <c r="D569" s="20"/>
      <c r="E569" s="20"/>
      <c r="F569" s="20"/>
      <c r="G569" s="20"/>
      <c r="H569" s="20"/>
      <c r="I569" s="104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3">
      <c r="A570" s="20"/>
      <c r="B570" s="20"/>
      <c r="C570" s="20"/>
      <c r="D570" s="20"/>
      <c r="E570" s="20"/>
      <c r="F570" s="20"/>
      <c r="G570" s="20"/>
      <c r="H570" s="20"/>
      <c r="I570" s="104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3">
      <c r="A571" s="20"/>
      <c r="B571" s="20"/>
      <c r="C571" s="20"/>
      <c r="D571" s="20"/>
      <c r="E571" s="20"/>
      <c r="F571" s="20"/>
      <c r="G571" s="20"/>
      <c r="H571" s="20"/>
      <c r="I571" s="104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3">
      <c r="A572" s="20"/>
      <c r="B572" s="20"/>
      <c r="C572" s="20"/>
      <c r="D572" s="20"/>
      <c r="E572" s="20"/>
      <c r="F572" s="20"/>
      <c r="G572" s="20"/>
      <c r="H572" s="20"/>
      <c r="I572" s="104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3">
      <c r="A573" s="20"/>
      <c r="B573" s="20"/>
      <c r="C573" s="20"/>
      <c r="D573" s="20"/>
      <c r="E573" s="20"/>
      <c r="F573" s="20"/>
      <c r="G573" s="20"/>
      <c r="H573" s="20"/>
      <c r="I573" s="104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3">
      <c r="A574" s="20"/>
      <c r="B574" s="20"/>
      <c r="C574" s="20"/>
      <c r="D574" s="20"/>
      <c r="E574" s="20"/>
      <c r="F574" s="20"/>
      <c r="G574" s="20"/>
      <c r="H574" s="20"/>
      <c r="I574" s="104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3">
      <c r="A575" s="20"/>
      <c r="B575" s="20"/>
      <c r="C575" s="20"/>
      <c r="D575" s="20"/>
      <c r="E575" s="20"/>
      <c r="F575" s="20"/>
      <c r="G575" s="20"/>
      <c r="H575" s="20"/>
      <c r="I575" s="104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3">
      <c r="A576" s="20"/>
      <c r="B576" s="20"/>
      <c r="C576" s="20"/>
      <c r="D576" s="20"/>
      <c r="E576" s="20"/>
      <c r="F576" s="20"/>
      <c r="G576" s="20"/>
      <c r="H576" s="20"/>
      <c r="I576" s="104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3">
      <c r="A577" s="20"/>
      <c r="B577" s="20"/>
      <c r="C577" s="20"/>
      <c r="D577" s="20"/>
      <c r="E577" s="20"/>
      <c r="F577" s="20"/>
      <c r="G577" s="20"/>
      <c r="H577" s="20"/>
      <c r="I577" s="104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3">
      <c r="A578" s="20"/>
      <c r="B578" s="20"/>
      <c r="C578" s="20"/>
      <c r="D578" s="20"/>
      <c r="E578" s="20"/>
      <c r="F578" s="20"/>
      <c r="G578" s="20"/>
      <c r="H578" s="20"/>
      <c r="I578" s="104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3">
      <c r="A579" s="20"/>
      <c r="B579" s="20"/>
      <c r="C579" s="20"/>
      <c r="D579" s="20"/>
      <c r="E579" s="20"/>
      <c r="F579" s="20"/>
      <c r="G579" s="20"/>
      <c r="H579" s="20"/>
      <c r="I579" s="104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3">
      <c r="A580" s="20"/>
      <c r="B580" s="20"/>
      <c r="C580" s="20"/>
      <c r="D580" s="20"/>
      <c r="E580" s="20"/>
      <c r="F580" s="20"/>
      <c r="G580" s="20"/>
      <c r="H580" s="20"/>
      <c r="I580" s="104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3">
      <c r="A581" s="20"/>
      <c r="B581" s="20"/>
      <c r="C581" s="20"/>
      <c r="D581" s="20"/>
      <c r="E581" s="20"/>
      <c r="F581" s="20"/>
      <c r="G581" s="20"/>
      <c r="H581" s="20"/>
      <c r="I581" s="104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3">
      <c r="A582" s="20"/>
      <c r="B582" s="20"/>
      <c r="C582" s="20"/>
      <c r="D582" s="20"/>
      <c r="E582" s="20"/>
      <c r="F582" s="20"/>
      <c r="G582" s="20"/>
      <c r="H582" s="20"/>
      <c r="I582" s="104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3">
      <c r="A583" s="20"/>
      <c r="B583" s="20"/>
      <c r="C583" s="20"/>
      <c r="D583" s="20"/>
      <c r="E583" s="20"/>
      <c r="F583" s="20"/>
      <c r="G583" s="20"/>
      <c r="H583" s="20"/>
      <c r="I583" s="104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3">
      <c r="A584" s="20"/>
      <c r="B584" s="20"/>
      <c r="C584" s="20"/>
      <c r="D584" s="20"/>
      <c r="E584" s="20"/>
      <c r="F584" s="20"/>
      <c r="G584" s="20"/>
      <c r="H584" s="20"/>
      <c r="I584" s="104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3">
      <c r="A585" s="20"/>
      <c r="B585" s="20"/>
      <c r="C585" s="20"/>
      <c r="D585" s="20"/>
      <c r="E585" s="20"/>
      <c r="F585" s="20"/>
      <c r="G585" s="20"/>
      <c r="H585" s="20"/>
      <c r="I585" s="104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3">
      <c r="A586" s="20"/>
      <c r="B586" s="20"/>
      <c r="C586" s="20"/>
      <c r="D586" s="20"/>
      <c r="E586" s="20"/>
      <c r="F586" s="20"/>
      <c r="G586" s="20"/>
      <c r="H586" s="20"/>
      <c r="I586" s="104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3">
      <c r="A587" s="20"/>
      <c r="B587" s="20"/>
      <c r="C587" s="20"/>
      <c r="D587" s="20"/>
      <c r="E587" s="20"/>
      <c r="F587" s="20"/>
      <c r="G587" s="20"/>
      <c r="H587" s="20"/>
      <c r="I587" s="104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3">
      <c r="A588" s="20"/>
      <c r="B588" s="20"/>
      <c r="C588" s="20"/>
      <c r="D588" s="20"/>
      <c r="E588" s="20"/>
      <c r="F588" s="20"/>
      <c r="G588" s="20"/>
      <c r="H588" s="20"/>
      <c r="I588" s="104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3">
      <c r="A589" s="20"/>
      <c r="B589" s="20"/>
      <c r="C589" s="20"/>
      <c r="D589" s="20"/>
      <c r="E589" s="20"/>
      <c r="F589" s="20"/>
      <c r="G589" s="20"/>
      <c r="H589" s="20"/>
      <c r="I589" s="104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3">
      <c r="A590" s="20"/>
      <c r="B590" s="20"/>
      <c r="C590" s="20"/>
      <c r="D590" s="20"/>
      <c r="E590" s="20"/>
      <c r="F590" s="20"/>
      <c r="G590" s="20"/>
      <c r="H590" s="20"/>
      <c r="I590" s="104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3">
      <c r="A591" s="20"/>
      <c r="B591" s="20"/>
      <c r="C591" s="20"/>
      <c r="D591" s="20"/>
      <c r="E591" s="20"/>
      <c r="F591" s="20"/>
      <c r="G591" s="20"/>
      <c r="H591" s="20"/>
      <c r="I591" s="104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3">
      <c r="A592" s="20"/>
      <c r="B592" s="20"/>
      <c r="C592" s="20"/>
      <c r="D592" s="20"/>
      <c r="E592" s="20"/>
      <c r="F592" s="20"/>
      <c r="G592" s="20"/>
      <c r="H592" s="20"/>
      <c r="I592" s="104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3">
      <c r="A593" s="20"/>
      <c r="B593" s="20"/>
      <c r="C593" s="20"/>
      <c r="D593" s="20"/>
      <c r="E593" s="20"/>
      <c r="F593" s="20"/>
      <c r="G593" s="20"/>
      <c r="H593" s="20"/>
      <c r="I593" s="104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3">
      <c r="A594" s="20"/>
      <c r="B594" s="20"/>
      <c r="C594" s="20"/>
      <c r="D594" s="20"/>
      <c r="E594" s="20"/>
      <c r="F594" s="20"/>
      <c r="G594" s="20"/>
      <c r="H594" s="20"/>
      <c r="I594" s="104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3">
      <c r="A595" s="20"/>
      <c r="B595" s="20"/>
      <c r="C595" s="20"/>
      <c r="D595" s="20"/>
      <c r="E595" s="20"/>
      <c r="F595" s="20"/>
      <c r="G595" s="20"/>
      <c r="H595" s="20"/>
      <c r="I595" s="104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3">
      <c r="A596" s="20"/>
      <c r="B596" s="20"/>
      <c r="C596" s="20"/>
      <c r="D596" s="20"/>
      <c r="E596" s="20"/>
      <c r="F596" s="20"/>
      <c r="G596" s="20"/>
      <c r="H596" s="20"/>
      <c r="I596" s="104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3">
      <c r="A597" s="20"/>
      <c r="B597" s="20"/>
      <c r="C597" s="20"/>
      <c r="D597" s="20"/>
      <c r="E597" s="20"/>
      <c r="F597" s="20"/>
      <c r="G597" s="20"/>
      <c r="H597" s="20"/>
      <c r="I597" s="104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3">
      <c r="A598" s="20"/>
      <c r="B598" s="20"/>
      <c r="C598" s="20"/>
      <c r="D598" s="20"/>
      <c r="E598" s="20"/>
      <c r="F598" s="20"/>
      <c r="G598" s="20"/>
      <c r="H598" s="20"/>
      <c r="I598" s="104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3">
      <c r="A599" s="20"/>
      <c r="B599" s="20"/>
      <c r="C599" s="20"/>
      <c r="D599" s="20"/>
      <c r="E599" s="20"/>
      <c r="F599" s="20"/>
      <c r="G599" s="20"/>
      <c r="H599" s="20"/>
      <c r="I599" s="104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3">
      <c r="A600" s="20"/>
      <c r="B600" s="20"/>
      <c r="C600" s="20"/>
      <c r="D600" s="20"/>
      <c r="E600" s="20"/>
      <c r="F600" s="20"/>
      <c r="G600" s="20"/>
      <c r="H600" s="20"/>
      <c r="I600" s="104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3">
      <c r="A601" s="20"/>
      <c r="B601" s="20"/>
      <c r="C601" s="20"/>
      <c r="D601" s="20"/>
      <c r="E601" s="20"/>
      <c r="F601" s="20"/>
      <c r="G601" s="20"/>
      <c r="H601" s="20"/>
      <c r="I601" s="104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3">
      <c r="A602" s="20"/>
      <c r="B602" s="20"/>
      <c r="C602" s="20"/>
      <c r="D602" s="20"/>
      <c r="E602" s="20"/>
      <c r="F602" s="20"/>
      <c r="G602" s="20"/>
      <c r="H602" s="20"/>
      <c r="I602" s="104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3">
      <c r="A603" s="20"/>
      <c r="B603" s="20"/>
      <c r="C603" s="20"/>
      <c r="D603" s="20"/>
      <c r="E603" s="20"/>
      <c r="F603" s="20"/>
      <c r="G603" s="20"/>
      <c r="H603" s="20"/>
      <c r="I603" s="104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3">
      <c r="A604" s="20"/>
      <c r="B604" s="20"/>
      <c r="C604" s="20"/>
      <c r="D604" s="20"/>
      <c r="E604" s="20"/>
      <c r="F604" s="20"/>
      <c r="G604" s="20"/>
      <c r="H604" s="20"/>
      <c r="I604" s="104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3">
      <c r="A605" s="20"/>
      <c r="B605" s="20"/>
      <c r="C605" s="20"/>
      <c r="D605" s="20"/>
      <c r="E605" s="20"/>
      <c r="F605" s="20"/>
      <c r="G605" s="20"/>
      <c r="H605" s="20"/>
      <c r="I605" s="104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3">
      <c r="A606" s="20"/>
      <c r="B606" s="20"/>
      <c r="C606" s="20"/>
      <c r="D606" s="20"/>
      <c r="E606" s="20"/>
      <c r="F606" s="20"/>
      <c r="G606" s="20"/>
      <c r="H606" s="20"/>
      <c r="I606" s="104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3">
      <c r="A607" s="20"/>
      <c r="B607" s="20"/>
      <c r="C607" s="20"/>
      <c r="D607" s="20"/>
      <c r="E607" s="20"/>
      <c r="F607" s="20"/>
      <c r="G607" s="20"/>
      <c r="H607" s="20"/>
      <c r="I607" s="104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3">
      <c r="A608" s="20"/>
      <c r="B608" s="20"/>
      <c r="C608" s="20"/>
      <c r="D608" s="20"/>
      <c r="E608" s="20"/>
      <c r="F608" s="20"/>
      <c r="G608" s="20"/>
      <c r="H608" s="20"/>
      <c r="I608" s="104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3">
      <c r="A609" s="20"/>
      <c r="B609" s="20"/>
      <c r="C609" s="20"/>
      <c r="D609" s="20"/>
      <c r="E609" s="20"/>
      <c r="F609" s="20"/>
      <c r="G609" s="20"/>
      <c r="H609" s="20"/>
      <c r="I609" s="104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3">
      <c r="A610" s="20"/>
      <c r="B610" s="20"/>
      <c r="C610" s="20"/>
      <c r="D610" s="20"/>
      <c r="E610" s="20"/>
      <c r="F610" s="20"/>
      <c r="G610" s="20"/>
      <c r="H610" s="20"/>
      <c r="I610" s="104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3">
      <c r="A611" s="20"/>
      <c r="B611" s="20"/>
      <c r="C611" s="20"/>
      <c r="D611" s="20"/>
      <c r="E611" s="20"/>
      <c r="F611" s="20"/>
      <c r="G611" s="20"/>
      <c r="H611" s="20"/>
      <c r="I611" s="104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3">
      <c r="A612" s="20"/>
      <c r="B612" s="20"/>
      <c r="C612" s="20"/>
      <c r="D612" s="20"/>
      <c r="E612" s="20"/>
      <c r="F612" s="20"/>
      <c r="G612" s="20"/>
      <c r="H612" s="20"/>
      <c r="I612" s="104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3">
      <c r="A613" s="20"/>
      <c r="B613" s="20"/>
      <c r="C613" s="20"/>
      <c r="D613" s="20"/>
      <c r="E613" s="20"/>
      <c r="F613" s="20"/>
      <c r="G613" s="20"/>
      <c r="H613" s="20"/>
      <c r="I613" s="104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3">
      <c r="A614" s="20"/>
      <c r="B614" s="20"/>
      <c r="C614" s="20"/>
      <c r="D614" s="20"/>
      <c r="E614" s="20"/>
      <c r="F614" s="20"/>
      <c r="G614" s="20"/>
      <c r="H614" s="20"/>
      <c r="I614" s="104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3">
      <c r="A615" s="20"/>
      <c r="B615" s="20"/>
      <c r="C615" s="20"/>
      <c r="D615" s="20"/>
      <c r="E615" s="20"/>
      <c r="F615" s="20"/>
      <c r="G615" s="20"/>
      <c r="H615" s="20"/>
      <c r="I615" s="104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3">
      <c r="A616" s="20"/>
      <c r="B616" s="20"/>
      <c r="C616" s="20"/>
      <c r="D616" s="20"/>
      <c r="E616" s="20"/>
      <c r="F616" s="20"/>
      <c r="G616" s="20"/>
      <c r="H616" s="20"/>
      <c r="I616" s="104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3">
      <c r="A617" s="20"/>
      <c r="B617" s="20"/>
      <c r="C617" s="20"/>
      <c r="D617" s="20"/>
      <c r="E617" s="20"/>
      <c r="F617" s="20"/>
      <c r="G617" s="20"/>
      <c r="H617" s="20"/>
      <c r="I617" s="104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3">
      <c r="A618" s="20"/>
      <c r="B618" s="20"/>
      <c r="C618" s="20"/>
      <c r="D618" s="20"/>
      <c r="E618" s="20"/>
      <c r="F618" s="20"/>
      <c r="G618" s="20"/>
      <c r="H618" s="20"/>
      <c r="I618" s="104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3">
      <c r="A619" s="20"/>
      <c r="B619" s="20"/>
      <c r="C619" s="20"/>
      <c r="D619" s="20"/>
      <c r="E619" s="20"/>
      <c r="F619" s="20"/>
      <c r="G619" s="20"/>
      <c r="H619" s="20"/>
      <c r="I619" s="104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3">
      <c r="A620" s="20"/>
      <c r="B620" s="20"/>
      <c r="C620" s="20"/>
      <c r="D620" s="20"/>
      <c r="E620" s="20"/>
      <c r="F620" s="20"/>
      <c r="G620" s="20"/>
      <c r="H620" s="20"/>
      <c r="I620" s="104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3">
      <c r="A621" s="20"/>
      <c r="B621" s="20"/>
      <c r="C621" s="20"/>
      <c r="D621" s="20"/>
      <c r="E621" s="20"/>
      <c r="F621" s="20"/>
      <c r="G621" s="20"/>
      <c r="H621" s="20"/>
      <c r="I621" s="104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3">
      <c r="A622" s="20"/>
      <c r="B622" s="20"/>
      <c r="C622" s="20"/>
      <c r="D622" s="20"/>
      <c r="E622" s="20"/>
      <c r="F622" s="20"/>
      <c r="G622" s="20"/>
      <c r="H622" s="20"/>
      <c r="I622" s="104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3">
      <c r="A623" s="20"/>
      <c r="B623" s="20"/>
      <c r="C623" s="20"/>
      <c r="D623" s="20"/>
      <c r="E623" s="20"/>
      <c r="F623" s="20"/>
      <c r="G623" s="20"/>
      <c r="H623" s="20"/>
      <c r="I623" s="104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3">
      <c r="A624" s="20"/>
      <c r="B624" s="20"/>
      <c r="C624" s="20"/>
      <c r="D624" s="20"/>
      <c r="E624" s="20"/>
      <c r="F624" s="20"/>
      <c r="G624" s="20"/>
      <c r="H624" s="20"/>
      <c r="I624" s="104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3">
      <c r="A625" s="20"/>
      <c r="B625" s="20"/>
      <c r="C625" s="20"/>
      <c r="D625" s="20"/>
      <c r="E625" s="20"/>
      <c r="F625" s="20"/>
      <c r="G625" s="20"/>
      <c r="H625" s="20"/>
      <c r="I625" s="104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3">
      <c r="A626" s="20"/>
      <c r="B626" s="20"/>
      <c r="C626" s="20"/>
      <c r="D626" s="20"/>
      <c r="E626" s="20"/>
      <c r="F626" s="20"/>
      <c r="G626" s="20"/>
      <c r="H626" s="20"/>
      <c r="I626" s="104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3">
      <c r="A627" s="20"/>
      <c r="B627" s="20"/>
      <c r="C627" s="20"/>
      <c r="D627" s="20"/>
      <c r="E627" s="20"/>
      <c r="F627" s="20"/>
      <c r="G627" s="20"/>
      <c r="H627" s="20"/>
      <c r="I627" s="104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3">
      <c r="A628" s="20"/>
      <c r="B628" s="20"/>
      <c r="C628" s="20"/>
      <c r="D628" s="20"/>
      <c r="E628" s="20"/>
      <c r="F628" s="20"/>
      <c r="G628" s="20"/>
      <c r="H628" s="20"/>
      <c r="I628" s="104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3">
      <c r="A629" s="20"/>
      <c r="B629" s="20"/>
      <c r="C629" s="20"/>
      <c r="D629" s="20"/>
      <c r="E629" s="20"/>
      <c r="F629" s="20"/>
      <c r="G629" s="20"/>
      <c r="H629" s="20"/>
      <c r="I629" s="104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3">
      <c r="A630" s="20"/>
      <c r="B630" s="20"/>
      <c r="C630" s="20"/>
      <c r="D630" s="20"/>
      <c r="E630" s="20"/>
      <c r="F630" s="20"/>
      <c r="G630" s="20"/>
      <c r="H630" s="20"/>
      <c r="I630" s="104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3">
      <c r="A631" s="20"/>
      <c r="B631" s="20"/>
      <c r="C631" s="20"/>
      <c r="D631" s="20"/>
      <c r="E631" s="20"/>
      <c r="F631" s="20"/>
      <c r="G631" s="20"/>
      <c r="H631" s="20"/>
      <c r="I631" s="104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3">
      <c r="A632" s="20"/>
      <c r="B632" s="20"/>
      <c r="C632" s="20"/>
      <c r="D632" s="20"/>
      <c r="E632" s="20"/>
      <c r="F632" s="20"/>
      <c r="G632" s="20"/>
      <c r="H632" s="20"/>
      <c r="I632" s="104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3">
      <c r="A633" s="20"/>
      <c r="B633" s="20"/>
      <c r="C633" s="20"/>
      <c r="D633" s="20"/>
      <c r="E633" s="20"/>
      <c r="F633" s="20"/>
      <c r="G633" s="20"/>
      <c r="H633" s="20"/>
      <c r="I633" s="104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3">
      <c r="A634" s="20"/>
      <c r="B634" s="20"/>
      <c r="C634" s="20"/>
      <c r="D634" s="20"/>
      <c r="E634" s="20"/>
      <c r="F634" s="20"/>
      <c r="G634" s="20"/>
      <c r="H634" s="20"/>
      <c r="I634" s="104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3">
      <c r="A635" s="20"/>
      <c r="B635" s="20"/>
      <c r="C635" s="20"/>
      <c r="D635" s="20"/>
      <c r="E635" s="20"/>
      <c r="F635" s="20"/>
      <c r="G635" s="20"/>
      <c r="H635" s="20"/>
      <c r="I635" s="104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3">
      <c r="A636" s="20"/>
      <c r="B636" s="20"/>
      <c r="C636" s="20"/>
      <c r="D636" s="20"/>
      <c r="E636" s="20"/>
      <c r="F636" s="20"/>
      <c r="G636" s="20"/>
      <c r="H636" s="20"/>
      <c r="I636" s="104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3">
      <c r="A637" s="20"/>
      <c r="B637" s="20"/>
      <c r="C637" s="20"/>
      <c r="D637" s="20"/>
      <c r="E637" s="20"/>
      <c r="F637" s="20"/>
      <c r="G637" s="20"/>
      <c r="H637" s="20"/>
      <c r="I637" s="104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3">
      <c r="A638" s="20"/>
      <c r="B638" s="20"/>
      <c r="C638" s="20"/>
      <c r="D638" s="20"/>
      <c r="E638" s="20"/>
      <c r="F638" s="20"/>
      <c r="G638" s="20"/>
      <c r="H638" s="20"/>
      <c r="I638" s="104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3">
      <c r="A639" s="20"/>
      <c r="B639" s="20"/>
      <c r="C639" s="20"/>
      <c r="D639" s="20"/>
      <c r="E639" s="20"/>
      <c r="F639" s="20"/>
      <c r="G639" s="20"/>
      <c r="H639" s="20"/>
      <c r="I639" s="104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3">
      <c r="A640" s="20"/>
      <c r="B640" s="20"/>
      <c r="C640" s="20"/>
      <c r="D640" s="20"/>
      <c r="E640" s="20"/>
      <c r="F640" s="20"/>
      <c r="G640" s="20"/>
      <c r="H640" s="20"/>
      <c r="I640" s="104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3">
      <c r="A641" s="20"/>
      <c r="B641" s="20"/>
      <c r="C641" s="20"/>
      <c r="D641" s="20"/>
      <c r="E641" s="20"/>
      <c r="F641" s="20"/>
      <c r="G641" s="20"/>
      <c r="H641" s="20"/>
      <c r="I641" s="104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3">
      <c r="A642" s="20"/>
      <c r="B642" s="20"/>
      <c r="C642" s="20"/>
      <c r="D642" s="20"/>
      <c r="E642" s="20"/>
      <c r="F642" s="20"/>
      <c r="G642" s="20"/>
      <c r="H642" s="20"/>
      <c r="I642" s="104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3">
      <c r="A643" s="20"/>
      <c r="B643" s="20"/>
      <c r="C643" s="20"/>
      <c r="D643" s="20"/>
      <c r="E643" s="20"/>
      <c r="F643" s="20"/>
      <c r="G643" s="20"/>
      <c r="H643" s="20"/>
      <c r="I643" s="104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3">
      <c r="A644" s="20"/>
      <c r="B644" s="20"/>
      <c r="C644" s="20"/>
      <c r="D644" s="20"/>
      <c r="E644" s="20"/>
      <c r="F644" s="20"/>
      <c r="G644" s="20"/>
      <c r="H644" s="20"/>
      <c r="I644" s="104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3">
      <c r="A645" s="20"/>
      <c r="B645" s="20"/>
      <c r="C645" s="20"/>
      <c r="D645" s="20"/>
      <c r="E645" s="20"/>
      <c r="F645" s="20"/>
      <c r="G645" s="20"/>
      <c r="H645" s="20"/>
      <c r="I645" s="104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3">
      <c r="A646" s="20"/>
      <c r="B646" s="20"/>
      <c r="C646" s="20"/>
      <c r="D646" s="20"/>
      <c r="E646" s="20"/>
      <c r="F646" s="20"/>
      <c r="G646" s="20"/>
      <c r="H646" s="20"/>
      <c r="I646" s="104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3">
      <c r="A647" s="20"/>
      <c r="B647" s="20"/>
      <c r="C647" s="20"/>
      <c r="D647" s="20"/>
      <c r="E647" s="20"/>
      <c r="F647" s="20"/>
      <c r="G647" s="20"/>
      <c r="H647" s="20"/>
      <c r="I647" s="104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3">
      <c r="A648" s="20"/>
      <c r="B648" s="20"/>
      <c r="C648" s="20"/>
      <c r="D648" s="20"/>
      <c r="E648" s="20"/>
      <c r="F648" s="20"/>
      <c r="G648" s="20"/>
      <c r="H648" s="20"/>
      <c r="I648" s="104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3">
      <c r="A649" s="20"/>
      <c r="B649" s="20"/>
      <c r="C649" s="20"/>
      <c r="D649" s="20"/>
      <c r="E649" s="20"/>
      <c r="F649" s="20"/>
      <c r="G649" s="20"/>
      <c r="H649" s="20"/>
      <c r="I649" s="104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3">
      <c r="A650" s="20"/>
      <c r="B650" s="20"/>
      <c r="C650" s="20"/>
      <c r="D650" s="20"/>
      <c r="E650" s="20"/>
      <c r="F650" s="20"/>
      <c r="G650" s="20"/>
      <c r="H650" s="20"/>
      <c r="I650" s="104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3">
      <c r="A651" s="20"/>
      <c r="B651" s="20"/>
      <c r="C651" s="20"/>
      <c r="D651" s="20"/>
      <c r="E651" s="20"/>
      <c r="F651" s="20"/>
      <c r="G651" s="20"/>
      <c r="H651" s="20"/>
      <c r="I651" s="104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3">
      <c r="A652" s="20"/>
      <c r="B652" s="20"/>
      <c r="C652" s="20"/>
      <c r="D652" s="20"/>
      <c r="E652" s="20"/>
      <c r="F652" s="20"/>
      <c r="G652" s="20"/>
      <c r="H652" s="20"/>
      <c r="I652" s="104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3">
      <c r="A653" s="20"/>
      <c r="B653" s="20"/>
      <c r="C653" s="20"/>
      <c r="D653" s="20"/>
      <c r="E653" s="20"/>
      <c r="F653" s="20"/>
      <c r="G653" s="20"/>
      <c r="H653" s="20"/>
      <c r="I653" s="104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3">
      <c r="A654" s="20"/>
      <c r="B654" s="20"/>
      <c r="C654" s="20"/>
      <c r="D654" s="20"/>
      <c r="E654" s="20"/>
      <c r="F654" s="20"/>
      <c r="G654" s="20"/>
      <c r="H654" s="20"/>
      <c r="I654" s="104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3">
      <c r="A655" s="20"/>
      <c r="B655" s="20"/>
      <c r="C655" s="20"/>
      <c r="D655" s="20"/>
      <c r="E655" s="20"/>
      <c r="F655" s="20"/>
      <c r="G655" s="20"/>
      <c r="H655" s="20"/>
      <c r="I655" s="104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3">
      <c r="A656" s="20"/>
      <c r="B656" s="20"/>
      <c r="C656" s="20"/>
      <c r="D656" s="20"/>
      <c r="E656" s="20"/>
      <c r="F656" s="20"/>
      <c r="G656" s="20"/>
      <c r="H656" s="20"/>
      <c r="I656" s="104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3">
      <c r="A657" s="20"/>
      <c r="B657" s="20"/>
      <c r="C657" s="20"/>
      <c r="D657" s="20"/>
      <c r="E657" s="20"/>
      <c r="F657" s="20"/>
      <c r="G657" s="20"/>
      <c r="H657" s="20"/>
      <c r="I657" s="104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3">
      <c r="A658" s="20"/>
      <c r="B658" s="20"/>
      <c r="C658" s="20"/>
      <c r="D658" s="20"/>
      <c r="E658" s="20"/>
      <c r="F658" s="20"/>
      <c r="G658" s="20"/>
      <c r="H658" s="20"/>
      <c r="I658" s="104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3">
      <c r="A659" s="20"/>
      <c r="B659" s="20"/>
      <c r="C659" s="20"/>
      <c r="D659" s="20"/>
      <c r="E659" s="20"/>
      <c r="F659" s="20"/>
      <c r="G659" s="20"/>
      <c r="H659" s="20"/>
      <c r="I659" s="104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3">
      <c r="A660" s="20"/>
      <c r="B660" s="20"/>
      <c r="C660" s="20"/>
      <c r="D660" s="20"/>
      <c r="E660" s="20"/>
      <c r="F660" s="20"/>
      <c r="G660" s="20"/>
      <c r="H660" s="20"/>
      <c r="I660" s="104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3">
      <c r="A661" s="20"/>
      <c r="B661" s="20"/>
      <c r="C661" s="20"/>
      <c r="D661" s="20"/>
      <c r="E661" s="20"/>
      <c r="F661" s="20"/>
      <c r="G661" s="20"/>
      <c r="H661" s="20"/>
      <c r="I661" s="104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3">
      <c r="A662" s="20"/>
      <c r="B662" s="20"/>
      <c r="C662" s="20"/>
      <c r="D662" s="20"/>
      <c r="E662" s="20"/>
      <c r="F662" s="20"/>
      <c r="G662" s="20"/>
      <c r="H662" s="20"/>
      <c r="I662" s="104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3">
      <c r="A663" s="20"/>
      <c r="B663" s="20"/>
      <c r="C663" s="20"/>
      <c r="D663" s="20"/>
      <c r="E663" s="20"/>
      <c r="F663" s="20"/>
      <c r="G663" s="20"/>
      <c r="H663" s="20"/>
      <c r="I663" s="104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3">
      <c r="A664" s="20"/>
      <c r="B664" s="20"/>
      <c r="C664" s="20"/>
      <c r="D664" s="20"/>
      <c r="E664" s="20"/>
      <c r="F664" s="20"/>
      <c r="G664" s="20"/>
      <c r="H664" s="20"/>
      <c r="I664" s="104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3">
      <c r="A665" s="20"/>
      <c r="B665" s="20"/>
      <c r="C665" s="20"/>
      <c r="D665" s="20"/>
      <c r="E665" s="20"/>
      <c r="F665" s="20"/>
      <c r="G665" s="20"/>
      <c r="H665" s="20"/>
      <c r="I665" s="104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3">
      <c r="A666" s="20"/>
      <c r="B666" s="20"/>
      <c r="C666" s="20"/>
      <c r="D666" s="20"/>
      <c r="E666" s="20"/>
      <c r="F666" s="20"/>
      <c r="G666" s="20"/>
      <c r="H666" s="20"/>
      <c r="I666" s="104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3">
      <c r="A667" s="20"/>
      <c r="B667" s="20"/>
      <c r="C667" s="20"/>
      <c r="D667" s="20"/>
      <c r="E667" s="20"/>
      <c r="F667" s="20"/>
      <c r="G667" s="20"/>
      <c r="H667" s="20"/>
      <c r="I667" s="104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3">
      <c r="A668" s="20"/>
      <c r="B668" s="20"/>
      <c r="C668" s="20"/>
      <c r="D668" s="20"/>
      <c r="E668" s="20"/>
      <c r="F668" s="20"/>
      <c r="G668" s="20"/>
      <c r="H668" s="20"/>
      <c r="I668" s="104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3">
      <c r="A669" s="20"/>
      <c r="B669" s="20"/>
      <c r="C669" s="20"/>
      <c r="D669" s="20"/>
      <c r="E669" s="20"/>
      <c r="F669" s="20"/>
      <c r="G669" s="20"/>
      <c r="H669" s="20"/>
      <c r="I669" s="104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3">
      <c r="A670" s="20"/>
      <c r="B670" s="20"/>
      <c r="C670" s="20"/>
      <c r="D670" s="20"/>
      <c r="E670" s="20"/>
      <c r="F670" s="20"/>
      <c r="G670" s="20"/>
      <c r="H670" s="20"/>
      <c r="I670" s="104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3">
      <c r="A671" s="20"/>
      <c r="B671" s="20"/>
      <c r="C671" s="20"/>
      <c r="D671" s="20"/>
      <c r="E671" s="20"/>
      <c r="F671" s="20"/>
      <c r="G671" s="20"/>
      <c r="H671" s="20"/>
      <c r="I671" s="104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3">
      <c r="A672" s="20"/>
      <c r="B672" s="20"/>
      <c r="C672" s="20"/>
      <c r="D672" s="20"/>
      <c r="E672" s="20"/>
      <c r="F672" s="20"/>
      <c r="G672" s="20"/>
      <c r="H672" s="20"/>
      <c r="I672" s="104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3">
      <c r="A673" s="20"/>
      <c r="B673" s="20"/>
      <c r="C673" s="20"/>
      <c r="D673" s="20"/>
      <c r="E673" s="20"/>
      <c r="F673" s="20"/>
      <c r="G673" s="20"/>
      <c r="H673" s="20"/>
      <c r="I673" s="104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3">
      <c r="A674" s="20"/>
      <c r="B674" s="20"/>
      <c r="C674" s="20"/>
      <c r="D674" s="20"/>
      <c r="E674" s="20"/>
      <c r="F674" s="20"/>
      <c r="G674" s="20"/>
      <c r="H674" s="20"/>
      <c r="I674" s="104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3">
      <c r="A675" s="20"/>
      <c r="B675" s="20"/>
      <c r="C675" s="20"/>
      <c r="D675" s="20"/>
      <c r="E675" s="20"/>
      <c r="F675" s="20"/>
      <c r="G675" s="20"/>
      <c r="H675" s="20"/>
      <c r="I675" s="104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3">
      <c r="A676" s="20"/>
      <c r="B676" s="20"/>
      <c r="C676" s="20"/>
      <c r="D676" s="20"/>
      <c r="E676" s="20"/>
      <c r="F676" s="20"/>
      <c r="G676" s="20"/>
      <c r="H676" s="20"/>
      <c r="I676" s="104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3">
      <c r="A677" s="20"/>
      <c r="B677" s="20"/>
      <c r="C677" s="20"/>
      <c r="D677" s="20"/>
      <c r="E677" s="20"/>
      <c r="F677" s="20"/>
      <c r="G677" s="20"/>
      <c r="H677" s="20"/>
      <c r="I677" s="104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3">
      <c r="A678" s="20"/>
      <c r="B678" s="20"/>
      <c r="C678" s="20"/>
      <c r="D678" s="20"/>
      <c r="E678" s="20"/>
      <c r="F678" s="20"/>
      <c r="G678" s="20"/>
      <c r="H678" s="20"/>
      <c r="I678" s="104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3">
      <c r="A679" s="20"/>
      <c r="B679" s="20"/>
      <c r="C679" s="20"/>
      <c r="D679" s="20"/>
      <c r="E679" s="20"/>
      <c r="F679" s="20"/>
      <c r="G679" s="20"/>
      <c r="H679" s="20"/>
      <c r="I679" s="104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3">
      <c r="A680" s="20"/>
      <c r="B680" s="20"/>
      <c r="C680" s="20"/>
      <c r="D680" s="20"/>
      <c r="E680" s="20"/>
      <c r="F680" s="20"/>
      <c r="G680" s="20"/>
      <c r="H680" s="20"/>
      <c r="I680" s="104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3">
      <c r="A681" s="20"/>
      <c r="B681" s="20"/>
      <c r="C681" s="20"/>
      <c r="D681" s="20"/>
      <c r="E681" s="20"/>
      <c r="F681" s="20"/>
      <c r="G681" s="20"/>
      <c r="H681" s="20"/>
      <c r="I681" s="104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3">
      <c r="A682" s="20"/>
      <c r="B682" s="20"/>
      <c r="C682" s="20"/>
      <c r="D682" s="20"/>
      <c r="E682" s="20"/>
      <c r="F682" s="20"/>
      <c r="G682" s="20"/>
      <c r="H682" s="20"/>
      <c r="I682" s="104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3">
      <c r="A683" s="20"/>
      <c r="B683" s="20"/>
      <c r="C683" s="20"/>
      <c r="D683" s="20"/>
      <c r="E683" s="20"/>
      <c r="F683" s="20"/>
      <c r="G683" s="20"/>
      <c r="H683" s="20"/>
      <c r="I683" s="104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3">
      <c r="A684" s="20"/>
      <c r="B684" s="20"/>
      <c r="C684" s="20"/>
      <c r="D684" s="20"/>
      <c r="E684" s="20"/>
      <c r="F684" s="20"/>
      <c r="G684" s="20"/>
      <c r="H684" s="20"/>
      <c r="I684" s="104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3">
      <c r="A685" s="20"/>
      <c r="B685" s="20"/>
      <c r="C685" s="20"/>
      <c r="D685" s="20"/>
      <c r="E685" s="20"/>
      <c r="F685" s="20"/>
      <c r="G685" s="20"/>
      <c r="H685" s="20"/>
      <c r="I685" s="104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3">
      <c r="A686" s="20"/>
      <c r="B686" s="20"/>
      <c r="C686" s="20"/>
      <c r="D686" s="20"/>
      <c r="E686" s="20"/>
      <c r="F686" s="20"/>
      <c r="G686" s="20"/>
      <c r="H686" s="20"/>
      <c r="I686" s="104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3">
      <c r="A687" s="20"/>
      <c r="B687" s="20"/>
      <c r="C687" s="20"/>
      <c r="D687" s="20"/>
      <c r="E687" s="20"/>
      <c r="F687" s="20"/>
      <c r="G687" s="20"/>
      <c r="H687" s="20"/>
      <c r="I687" s="104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3">
      <c r="A688" s="20"/>
      <c r="B688" s="20"/>
      <c r="C688" s="20"/>
      <c r="D688" s="20"/>
      <c r="E688" s="20"/>
      <c r="F688" s="20"/>
      <c r="G688" s="20"/>
      <c r="H688" s="20"/>
      <c r="I688" s="104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3">
      <c r="A689" s="20"/>
      <c r="B689" s="20"/>
      <c r="C689" s="20"/>
      <c r="D689" s="20"/>
      <c r="E689" s="20"/>
      <c r="F689" s="20"/>
      <c r="G689" s="20"/>
      <c r="H689" s="20"/>
      <c r="I689" s="104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3">
      <c r="A690" s="20"/>
      <c r="B690" s="20"/>
      <c r="C690" s="20"/>
      <c r="D690" s="20"/>
      <c r="E690" s="20"/>
      <c r="F690" s="20"/>
      <c r="G690" s="20"/>
      <c r="H690" s="20"/>
      <c r="I690" s="104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3">
      <c r="A691" s="20"/>
      <c r="B691" s="20"/>
      <c r="C691" s="20"/>
      <c r="D691" s="20"/>
      <c r="E691" s="20"/>
      <c r="F691" s="20"/>
      <c r="G691" s="20"/>
      <c r="H691" s="20"/>
      <c r="I691" s="104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3">
      <c r="A692" s="20"/>
      <c r="B692" s="20"/>
      <c r="C692" s="20"/>
      <c r="D692" s="20"/>
      <c r="E692" s="20"/>
      <c r="F692" s="20"/>
      <c r="G692" s="20"/>
      <c r="H692" s="20"/>
      <c r="I692" s="104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3">
      <c r="A693" s="20"/>
      <c r="B693" s="20"/>
      <c r="C693" s="20"/>
      <c r="D693" s="20"/>
      <c r="E693" s="20"/>
      <c r="F693" s="20"/>
      <c r="G693" s="20"/>
      <c r="H693" s="20"/>
      <c r="I693" s="104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3">
      <c r="A694" s="20"/>
      <c r="B694" s="20"/>
      <c r="C694" s="20"/>
      <c r="D694" s="20"/>
      <c r="E694" s="20"/>
      <c r="F694" s="20"/>
      <c r="G694" s="20"/>
      <c r="H694" s="20"/>
      <c r="I694" s="104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3">
      <c r="A695" s="20"/>
      <c r="B695" s="20"/>
      <c r="C695" s="20"/>
      <c r="D695" s="20"/>
      <c r="E695" s="20"/>
      <c r="F695" s="20"/>
      <c r="G695" s="20"/>
      <c r="H695" s="20"/>
      <c r="I695" s="104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3">
      <c r="A696" s="20"/>
      <c r="B696" s="20"/>
      <c r="C696" s="20"/>
      <c r="D696" s="20"/>
      <c r="E696" s="20"/>
      <c r="F696" s="20"/>
      <c r="G696" s="20"/>
      <c r="H696" s="20"/>
      <c r="I696" s="104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3">
      <c r="A697" s="20"/>
      <c r="B697" s="20"/>
      <c r="C697" s="20"/>
      <c r="D697" s="20"/>
      <c r="E697" s="20"/>
      <c r="F697" s="20"/>
      <c r="G697" s="20"/>
      <c r="H697" s="20"/>
      <c r="I697" s="104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3">
      <c r="A698" s="20"/>
      <c r="B698" s="20"/>
      <c r="C698" s="20"/>
      <c r="D698" s="20"/>
      <c r="E698" s="20"/>
      <c r="F698" s="20"/>
      <c r="G698" s="20"/>
      <c r="H698" s="20"/>
      <c r="I698" s="104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3">
      <c r="A699" s="20"/>
      <c r="B699" s="20"/>
      <c r="C699" s="20"/>
      <c r="D699" s="20"/>
      <c r="E699" s="20"/>
      <c r="F699" s="20"/>
      <c r="G699" s="20"/>
      <c r="H699" s="20"/>
      <c r="I699" s="104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3">
      <c r="A700" s="20"/>
      <c r="B700" s="20"/>
      <c r="C700" s="20"/>
      <c r="D700" s="20"/>
      <c r="E700" s="20"/>
      <c r="F700" s="20"/>
      <c r="G700" s="20"/>
      <c r="H700" s="20"/>
      <c r="I700" s="104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3">
      <c r="A701" s="20"/>
      <c r="B701" s="20"/>
      <c r="C701" s="20"/>
      <c r="D701" s="20"/>
      <c r="E701" s="20"/>
      <c r="F701" s="20"/>
      <c r="G701" s="20"/>
      <c r="H701" s="20"/>
      <c r="I701" s="104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3">
      <c r="A702" s="20"/>
      <c r="B702" s="20"/>
      <c r="C702" s="20"/>
      <c r="D702" s="20"/>
      <c r="E702" s="20"/>
      <c r="F702" s="20"/>
      <c r="G702" s="20"/>
      <c r="H702" s="20"/>
      <c r="I702" s="104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3">
      <c r="A703" s="20"/>
      <c r="B703" s="20"/>
      <c r="C703" s="20"/>
      <c r="D703" s="20"/>
      <c r="E703" s="20"/>
      <c r="F703" s="20"/>
      <c r="G703" s="20"/>
      <c r="H703" s="20"/>
      <c r="I703" s="104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3">
      <c r="A704" s="20"/>
      <c r="B704" s="20"/>
      <c r="C704" s="20"/>
      <c r="D704" s="20"/>
      <c r="E704" s="20"/>
      <c r="F704" s="20"/>
      <c r="G704" s="20"/>
      <c r="H704" s="20"/>
      <c r="I704" s="104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3">
      <c r="A705" s="20"/>
      <c r="B705" s="20"/>
      <c r="C705" s="20"/>
      <c r="D705" s="20"/>
      <c r="E705" s="20"/>
      <c r="F705" s="20"/>
      <c r="G705" s="20"/>
      <c r="H705" s="20"/>
      <c r="I705" s="104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3">
      <c r="A706" s="20"/>
      <c r="B706" s="20"/>
      <c r="C706" s="20"/>
      <c r="D706" s="20"/>
      <c r="E706" s="20"/>
      <c r="F706" s="20"/>
      <c r="G706" s="20"/>
      <c r="H706" s="20"/>
      <c r="I706" s="104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3">
      <c r="A707" s="20"/>
      <c r="B707" s="20"/>
      <c r="C707" s="20"/>
      <c r="D707" s="20"/>
      <c r="E707" s="20"/>
      <c r="F707" s="20"/>
      <c r="G707" s="20"/>
      <c r="H707" s="20"/>
      <c r="I707" s="104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3">
      <c r="A708" s="20"/>
      <c r="B708" s="20"/>
      <c r="C708" s="20"/>
      <c r="D708" s="20"/>
      <c r="E708" s="20"/>
      <c r="F708" s="20"/>
      <c r="G708" s="20"/>
      <c r="H708" s="20"/>
      <c r="I708" s="104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3">
      <c r="A709" s="20"/>
      <c r="B709" s="20"/>
      <c r="C709" s="20"/>
      <c r="D709" s="20"/>
      <c r="E709" s="20"/>
      <c r="F709" s="20"/>
      <c r="G709" s="20"/>
      <c r="H709" s="20"/>
      <c r="I709" s="104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3">
      <c r="A710" s="20"/>
      <c r="B710" s="20"/>
      <c r="C710" s="20"/>
      <c r="D710" s="20"/>
      <c r="E710" s="20"/>
      <c r="F710" s="20"/>
      <c r="G710" s="20"/>
      <c r="H710" s="20"/>
      <c r="I710" s="104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3">
      <c r="A711" s="20"/>
      <c r="B711" s="20"/>
      <c r="C711" s="20"/>
      <c r="D711" s="20"/>
      <c r="E711" s="20"/>
      <c r="F711" s="20"/>
      <c r="G711" s="20"/>
      <c r="H711" s="20"/>
      <c r="I711" s="104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3">
      <c r="A712" s="20"/>
      <c r="B712" s="20"/>
      <c r="C712" s="20"/>
      <c r="D712" s="20"/>
      <c r="E712" s="20"/>
      <c r="F712" s="20"/>
      <c r="G712" s="20"/>
      <c r="H712" s="20"/>
      <c r="I712" s="104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3">
      <c r="A713" s="20"/>
      <c r="B713" s="20"/>
      <c r="C713" s="20"/>
      <c r="D713" s="20"/>
      <c r="E713" s="20"/>
      <c r="F713" s="20"/>
      <c r="G713" s="20"/>
      <c r="H713" s="20"/>
      <c r="I713" s="104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3">
      <c r="A714" s="20"/>
      <c r="B714" s="20"/>
      <c r="C714" s="20"/>
      <c r="D714" s="20"/>
      <c r="E714" s="20"/>
      <c r="F714" s="20"/>
      <c r="G714" s="20"/>
      <c r="H714" s="20"/>
      <c r="I714" s="104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3">
      <c r="A715" s="20"/>
      <c r="B715" s="20"/>
      <c r="C715" s="20"/>
      <c r="D715" s="20"/>
      <c r="E715" s="20"/>
      <c r="F715" s="20"/>
      <c r="G715" s="20"/>
      <c r="H715" s="20"/>
      <c r="I715" s="104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3">
      <c r="A716" s="20"/>
      <c r="B716" s="20"/>
      <c r="C716" s="20"/>
      <c r="D716" s="20"/>
      <c r="E716" s="20"/>
      <c r="F716" s="20"/>
      <c r="G716" s="20"/>
      <c r="H716" s="20"/>
      <c r="I716" s="104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3">
      <c r="A717" s="20"/>
      <c r="B717" s="20"/>
      <c r="C717" s="20"/>
      <c r="D717" s="20"/>
      <c r="E717" s="20"/>
      <c r="F717" s="20"/>
      <c r="G717" s="20"/>
      <c r="H717" s="20"/>
      <c r="I717" s="104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3">
      <c r="A718" s="20"/>
      <c r="B718" s="20"/>
      <c r="C718" s="20"/>
      <c r="D718" s="20"/>
      <c r="E718" s="20"/>
      <c r="F718" s="20"/>
      <c r="G718" s="20"/>
      <c r="H718" s="20"/>
      <c r="I718" s="104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3">
      <c r="A719" s="20"/>
      <c r="B719" s="20"/>
      <c r="C719" s="20"/>
      <c r="D719" s="20"/>
      <c r="E719" s="20"/>
      <c r="F719" s="20"/>
      <c r="G719" s="20"/>
      <c r="H719" s="20"/>
      <c r="I719" s="104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3">
      <c r="A720" s="20"/>
      <c r="B720" s="20"/>
      <c r="C720" s="20"/>
      <c r="D720" s="20"/>
      <c r="E720" s="20"/>
      <c r="F720" s="20"/>
      <c r="G720" s="20"/>
      <c r="H720" s="20"/>
      <c r="I720" s="104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3">
      <c r="A721" s="20"/>
      <c r="B721" s="20"/>
      <c r="C721" s="20"/>
      <c r="D721" s="20"/>
      <c r="E721" s="20"/>
      <c r="F721" s="20"/>
      <c r="G721" s="20"/>
      <c r="H721" s="20"/>
      <c r="I721" s="104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3">
      <c r="A722" s="20"/>
      <c r="B722" s="20"/>
      <c r="C722" s="20"/>
      <c r="D722" s="20"/>
      <c r="E722" s="20"/>
      <c r="F722" s="20"/>
      <c r="G722" s="20"/>
      <c r="H722" s="20"/>
      <c r="I722" s="104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3">
      <c r="A723" s="20"/>
      <c r="B723" s="20"/>
      <c r="C723" s="20"/>
      <c r="D723" s="20"/>
      <c r="E723" s="20"/>
      <c r="F723" s="20"/>
      <c r="G723" s="20"/>
      <c r="H723" s="20"/>
      <c r="I723" s="104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3">
      <c r="A724" s="20"/>
      <c r="B724" s="20"/>
      <c r="C724" s="20"/>
      <c r="D724" s="20"/>
      <c r="E724" s="20"/>
      <c r="F724" s="20"/>
      <c r="G724" s="20"/>
      <c r="H724" s="20"/>
      <c r="I724" s="104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3">
      <c r="A725" s="20"/>
      <c r="B725" s="20"/>
      <c r="C725" s="20"/>
      <c r="D725" s="20"/>
      <c r="E725" s="20"/>
      <c r="F725" s="20"/>
      <c r="G725" s="20"/>
      <c r="H725" s="20"/>
      <c r="I725" s="104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3">
      <c r="A726" s="20"/>
      <c r="B726" s="20"/>
      <c r="C726" s="20"/>
      <c r="D726" s="20"/>
      <c r="E726" s="20"/>
      <c r="F726" s="20"/>
      <c r="G726" s="20"/>
      <c r="H726" s="20"/>
      <c r="I726" s="104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3">
      <c r="A727" s="20"/>
      <c r="B727" s="20"/>
      <c r="C727" s="20"/>
      <c r="D727" s="20"/>
      <c r="E727" s="20"/>
      <c r="F727" s="20"/>
      <c r="G727" s="20"/>
      <c r="H727" s="20"/>
      <c r="I727" s="104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3">
      <c r="A728" s="20"/>
      <c r="B728" s="20"/>
      <c r="C728" s="20"/>
      <c r="D728" s="20"/>
      <c r="E728" s="20"/>
      <c r="F728" s="20"/>
      <c r="G728" s="20"/>
      <c r="H728" s="20"/>
      <c r="I728" s="104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3">
      <c r="A729" s="20"/>
      <c r="B729" s="20"/>
      <c r="C729" s="20"/>
      <c r="D729" s="20"/>
      <c r="E729" s="20"/>
      <c r="F729" s="20"/>
      <c r="G729" s="20"/>
      <c r="H729" s="20"/>
      <c r="I729" s="104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3">
      <c r="A730" s="20"/>
      <c r="B730" s="20"/>
      <c r="C730" s="20"/>
      <c r="D730" s="20"/>
      <c r="E730" s="20"/>
      <c r="F730" s="20"/>
      <c r="G730" s="20"/>
      <c r="H730" s="20"/>
      <c r="I730" s="104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3">
      <c r="A731" s="20"/>
      <c r="B731" s="20"/>
      <c r="C731" s="20"/>
      <c r="D731" s="20"/>
      <c r="E731" s="20"/>
      <c r="F731" s="20"/>
      <c r="G731" s="20"/>
      <c r="H731" s="20"/>
      <c r="I731" s="104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3">
      <c r="A732" s="20"/>
      <c r="B732" s="20"/>
      <c r="C732" s="20"/>
      <c r="D732" s="20"/>
      <c r="E732" s="20"/>
      <c r="F732" s="20"/>
      <c r="G732" s="20"/>
      <c r="H732" s="20"/>
      <c r="I732" s="104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3">
      <c r="A733" s="20"/>
      <c r="B733" s="20"/>
      <c r="C733" s="20"/>
      <c r="D733" s="20"/>
      <c r="E733" s="20"/>
      <c r="F733" s="20"/>
      <c r="G733" s="20"/>
      <c r="H733" s="20"/>
      <c r="I733" s="104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3">
      <c r="A734" s="20"/>
      <c r="B734" s="20"/>
      <c r="C734" s="20"/>
      <c r="D734" s="20"/>
      <c r="E734" s="20"/>
      <c r="F734" s="20"/>
      <c r="G734" s="20"/>
      <c r="H734" s="20"/>
      <c r="I734" s="104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3">
      <c r="A735" s="20"/>
      <c r="B735" s="20"/>
      <c r="C735" s="20"/>
      <c r="D735" s="20"/>
      <c r="E735" s="20"/>
      <c r="F735" s="20"/>
      <c r="G735" s="20"/>
      <c r="H735" s="20"/>
      <c r="I735" s="104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3">
      <c r="A736" s="20"/>
      <c r="B736" s="20"/>
      <c r="C736" s="20"/>
      <c r="D736" s="20"/>
      <c r="E736" s="20"/>
      <c r="F736" s="20"/>
      <c r="G736" s="20"/>
      <c r="H736" s="20"/>
      <c r="I736" s="104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3">
      <c r="A737" s="20"/>
      <c r="B737" s="20"/>
      <c r="C737" s="20"/>
      <c r="D737" s="20"/>
      <c r="E737" s="20"/>
      <c r="F737" s="20"/>
      <c r="G737" s="20"/>
      <c r="H737" s="20"/>
      <c r="I737" s="104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3">
      <c r="A738" s="20"/>
      <c r="B738" s="20"/>
      <c r="C738" s="20"/>
      <c r="D738" s="20"/>
      <c r="E738" s="20"/>
      <c r="F738" s="20"/>
      <c r="G738" s="20"/>
      <c r="H738" s="20"/>
      <c r="I738" s="104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3">
      <c r="A739" s="20"/>
      <c r="B739" s="20"/>
      <c r="C739" s="20"/>
      <c r="D739" s="20"/>
      <c r="E739" s="20"/>
      <c r="F739" s="20"/>
      <c r="G739" s="20"/>
      <c r="H739" s="20"/>
      <c r="I739" s="104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3">
      <c r="A740" s="20"/>
      <c r="B740" s="20"/>
      <c r="C740" s="20"/>
      <c r="D740" s="20"/>
      <c r="E740" s="20"/>
      <c r="F740" s="20"/>
      <c r="G740" s="20"/>
      <c r="H740" s="20"/>
      <c r="I740" s="104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3">
      <c r="A741" s="20"/>
      <c r="B741" s="20"/>
      <c r="C741" s="20"/>
      <c r="D741" s="20"/>
      <c r="E741" s="20"/>
      <c r="F741" s="20"/>
      <c r="G741" s="20"/>
      <c r="H741" s="20"/>
      <c r="I741" s="104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3">
      <c r="A742" s="20"/>
      <c r="B742" s="20"/>
      <c r="C742" s="20"/>
      <c r="D742" s="20"/>
      <c r="E742" s="20"/>
      <c r="F742" s="20"/>
      <c r="G742" s="20"/>
      <c r="H742" s="20"/>
      <c r="I742" s="104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3">
      <c r="A743" s="20"/>
      <c r="B743" s="20"/>
      <c r="C743" s="20"/>
      <c r="D743" s="20"/>
      <c r="E743" s="20"/>
      <c r="F743" s="20"/>
      <c r="G743" s="20"/>
      <c r="H743" s="20"/>
      <c r="I743" s="104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3">
      <c r="A744" s="20"/>
      <c r="B744" s="20"/>
      <c r="C744" s="20"/>
      <c r="D744" s="20"/>
      <c r="E744" s="20"/>
      <c r="F744" s="20"/>
      <c r="G744" s="20"/>
      <c r="H744" s="20"/>
      <c r="I744" s="104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3">
      <c r="A745" s="20"/>
      <c r="B745" s="20"/>
      <c r="C745" s="20"/>
      <c r="D745" s="20"/>
      <c r="E745" s="20"/>
      <c r="F745" s="20"/>
      <c r="G745" s="20"/>
      <c r="H745" s="20"/>
      <c r="I745" s="104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3">
      <c r="A746" s="20"/>
      <c r="B746" s="20"/>
      <c r="C746" s="20"/>
      <c r="D746" s="20"/>
      <c r="E746" s="20"/>
      <c r="F746" s="20"/>
      <c r="G746" s="20"/>
      <c r="H746" s="20"/>
      <c r="I746" s="104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3">
      <c r="A747" s="20"/>
      <c r="B747" s="20"/>
      <c r="C747" s="20"/>
      <c r="D747" s="20"/>
      <c r="E747" s="20"/>
      <c r="F747" s="20"/>
      <c r="G747" s="20"/>
      <c r="H747" s="20"/>
      <c r="I747" s="104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3">
      <c r="A748" s="20"/>
      <c r="B748" s="20"/>
      <c r="C748" s="20"/>
      <c r="D748" s="20"/>
      <c r="E748" s="20"/>
      <c r="F748" s="20"/>
      <c r="G748" s="20"/>
      <c r="H748" s="20"/>
      <c r="I748" s="104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3">
      <c r="A749" s="20"/>
      <c r="B749" s="20"/>
      <c r="C749" s="20"/>
      <c r="D749" s="20"/>
      <c r="E749" s="20"/>
      <c r="F749" s="20"/>
      <c r="G749" s="20"/>
      <c r="H749" s="20"/>
      <c r="I749" s="104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3">
      <c r="A750" s="20"/>
      <c r="B750" s="20"/>
      <c r="C750" s="20"/>
      <c r="D750" s="20"/>
      <c r="E750" s="20"/>
      <c r="F750" s="20"/>
      <c r="G750" s="20"/>
      <c r="H750" s="20"/>
      <c r="I750" s="104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3">
      <c r="A751" s="20"/>
      <c r="B751" s="20"/>
      <c r="C751" s="20"/>
      <c r="D751" s="20"/>
      <c r="E751" s="20"/>
      <c r="F751" s="20"/>
      <c r="G751" s="20"/>
      <c r="H751" s="20"/>
      <c r="I751" s="104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3">
      <c r="A752" s="20"/>
      <c r="B752" s="20"/>
      <c r="C752" s="20"/>
      <c r="D752" s="20"/>
      <c r="E752" s="20"/>
      <c r="F752" s="20"/>
      <c r="G752" s="20"/>
      <c r="H752" s="20"/>
      <c r="I752" s="104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3">
      <c r="A753" s="20"/>
      <c r="B753" s="20"/>
      <c r="C753" s="20"/>
      <c r="D753" s="20"/>
      <c r="E753" s="20"/>
      <c r="F753" s="20"/>
      <c r="G753" s="20"/>
      <c r="H753" s="20"/>
      <c r="I753" s="104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3">
      <c r="A754" s="20"/>
      <c r="B754" s="20"/>
      <c r="C754" s="20"/>
      <c r="D754" s="20"/>
      <c r="E754" s="20"/>
      <c r="F754" s="20"/>
      <c r="G754" s="20"/>
      <c r="H754" s="20"/>
      <c r="I754" s="104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3">
      <c r="A755" s="20"/>
      <c r="B755" s="20"/>
      <c r="C755" s="20"/>
      <c r="D755" s="20"/>
      <c r="E755" s="20"/>
      <c r="F755" s="20"/>
      <c r="G755" s="20"/>
      <c r="H755" s="20"/>
      <c r="I755" s="104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3">
      <c r="A756" s="20"/>
      <c r="B756" s="20"/>
      <c r="C756" s="20"/>
      <c r="D756" s="20"/>
      <c r="E756" s="20"/>
      <c r="F756" s="20"/>
      <c r="G756" s="20"/>
      <c r="H756" s="20"/>
      <c r="I756" s="104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3">
      <c r="A757" s="20"/>
      <c r="B757" s="20"/>
      <c r="C757" s="20"/>
      <c r="D757" s="20"/>
      <c r="E757" s="20"/>
      <c r="F757" s="20"/>
      <c r="G757" s="20"/>
      <c r="H757" s="20"/>
      <c r="I757" s="104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3">
      <c r="A758" s="20"/>
      <c r="B758" s="20"/>
      <c r="C758" s="20"/>
      <c r="D758" s="20"/>
      <c r="E758" s="20"/>
      <c r="F758" s="20"/>
      <c r="G758" s="20"/>
      <c r="H758" s="20"/>
      <c r="I758" s="104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3">
      <c r="A759" s="20"/>
      <c r="B759" s="20"/>
      <c r="C759" s="20"/>
      <c r="D759" s="20"/>
      <c r="E759" s="20"/>
      <c r="F759" s="20"/>
      <c r="G759" s="20"/>
      <c r="H759" s="20"/>
      <c r="I759" s="104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3">
      <c r="A760" s="20"/>
      <c r="B760" s="20"/>
      <c r="C760" s="20"/>
      <c r="D760" s="20"/>
      <c r="E760" s="20"/>
      <c r="F760" s="20"/>
      <c r="G760" s="20"/>
      <c r="H760" s="20"/>
      <c r="I760" s="104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3">
      <c r="A761" s="20"/>
      <c r="B761" s="20"/>
      <c r="C761" s="20"/>
      <c r="D761" s="20"/>
      <c r="E761" s="20"/>
      <c r="F761" s="20"/>
      <c r="G761" s="20"/>
      <c r="H761" s="20"/>
      <c r="I761" s="104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3">
      <c r="A762" s="20"/>
      <c r="B762" s="20"/>
      <c r="C762" s="20"/>
      <c r="D762" s="20"/>
      <c r="E762" s="20"/>
      <c r="F762" s="20"/>
      <c r="G762" s="20"/>
      <c r="H762" s="20"/>
      <c r="I762" s="104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3">
      <c r="A763" s="20"/>
      <c r="B763" s="20"/>
      <c r="C763" s="20"/>
      <c r="D763" s="20"/>
      <c r="E763" s="20"/>
      <c r="F763" s="20"/>
      <c r="G763" s="20"/>
      <c r="H763" s="20"/>
      <c r="I763" s="104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3">
      <c r="A764" s="20"/>
      <c r="B764" s="20"/>
      <c r="C764" s="20"/>
      <c r="D764" s="20"/>
      <c r="E764" s="20"/>
      <c r="F764" s="20"/>
      <c r="G764" s="20"/>
      <c r="H764" s="20"/>
      <c r="I764" s="104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3">
      <c r="A765" s="20"/>
      <c r="B765" s="20"/>
      <c r="C765" s="20"/>
      <c r="D765" s="20"/>
      <c r="E765" s="20"/>
      <c r="F765" s="20"/>
      <c r="G765" s="20"/>
      <c r="H765" s="20"/>
      <c r="I765" s="104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3">
      <c r="A766" s="20"/>
      <c r="B766" s="20"/>
      <c r="C766" s="20"/>
      <c r="D766" s="20"/>
      <c r="E766" s="20"/>
      <c r="F766" s="20"/>
      <c r="G766" s="20"/>
      <c r="H766" s="20"/>
      <c r="I766" s="104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3">
      <c r="A767" s="20"/>
      <c r="B767" s="20"/>
      <c r="C767" s="20"/>
      <c r="D767" s="20"/>
      <c r="E767" s="20"/>
      <c r="F767" s="20"/>
      <c r="G767" s="20"/>
      <c r="H767" s="20"/>
      <c r="I767" s="104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3">
      <c r="A768" s="20"/>
      <c r="B768" s="20"/>
      <c r="C768" s="20"/>
      <c r="D768" s="20"/>
      <c r="E768" s="20"/>
      <c r="F768" s="20"/>
      <c r="G768" s="20"/>
      <c r="H768" s="20"/>
      <c r="I768" s="104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3">
      <c r="A769" s="20"/>
      <c r="B769" s="20"/>
      <c r="C769" s="20"/>
      <c r="D769" s="20"/>
      <c r="E769" s="20"/>
      <c r="F769" s="20"/>
      <c r="G769" s="20"/>
      <c r="H769" s="20"/>
      <c r="I769" s="104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3">
      <c r="A770" s="20"/>
      <c r="B770" s="20"/>
      <c r="C770" s="20"/>
      <c r="D770" s="20"/>
      <c r="E770" s="20"/>
      <c r="F770" s="20"/>
      <c r="G770" s="20"/>
      <c r="H770" s="20"/>
      <c r="I770" s="104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3">
      <c r="A771" s="20"/>
      <c r="B771" s="20"/>
      <c r="C771" s="20"/>
      <c r="D771" s="20"/>
      <c r="E771" s="20"/>
      <c r="F771" s="20"/>
      <c r="G771" s="20"/>
      <c r="H771" s="20"/>
      <c r="I771" s="104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3">
      <c r="A772" s="20"/>
      <c r="B772" s="20"/>
      <c r="C772" s="20"/>
      <c r="D772" s="20"/>
      <c r="E772" s="20"/>
      <c r="F772" s="20"/>
      <c r="G772" s="20"/>
      <c r="H772" s="20"/>
      <c r="I772" s="104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3">
      <c r="A773" s="20"/>
      <c r="B773" s="20"/>
      <c r="C773" s="20"/>
      <c r="D773" s="20"/>
      <c r="E773" s="20"/>
      <c r="F773" s="20"/>
      <c r="G773" s="20"/>
      <c r="H773" s="20"/>
      <c r="I773" s="104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3">
      <c r="A774" s="20"/>
      <c r="B774" s="20"/>
      <c r="C774" s="20"/>
      <c r="D774" s="20"/>
      <c r="E774" s="20"/>
      <c r="F774" s="20"/>
      <c r="G774" s="20"/>
      <c r="H774" s="20"/>
      <c r="I774" s="104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3">
      <c r="A775" s="20"/>
      <c r="B775" s="20"/>
      <c r="C775" s="20"/>
      <c r="D775" s="20"/>
      <c r="E775" s="20"/>
      <c r="F775" s="20"/>
      <c r="G775" s="20"/>
      <c r="H775" s="20"/>
      <c r="I775" s="104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3">
      <c r="A776" s="20"/>
      <c r="B776" s="20"/>
      <c r="C776" s="20"/>
      <c r="D776" s="20"/>
      <c r="E776" s="20"/>
      <c r="F776" s="20"/>
      <c r="G776" s="20"/>
      <c r="H776" s="20"/>
      <c r="I776" s="104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3">
      <c r="A777" s="20"/>
      <c r="B777" s="20"/>
      <c r="C777" s="20"/>
      <c r="D777" s="20"/>
      <c r="E777" s="20"/>
      <c r="F777" s="20"/>
      <c r="G777" s="20"/>
      <c r="H777" s="20"/>
      <c r="I777" s="104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3">
      <c r="A778" s="20"/>
      <c r="B778" s="20"/>
      <c r="C778" s="20"/>
      <c r="D778" s="20"/>
      <c r="E778" s="20"/>
      <c r="F778" s="20"/>
      <c r="G778" s="20"/>
      <c r="H778" s="20"/>
      <c r="I778" s="104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3">
      <c r="A779" s="20"/>
      <c r="B779" s="20"/>
      <c r="C779" s="20"/>
      <c r="D779" s="20"/>
      <c r="E779" s="20"/>
      <c r="F779" s="20"/>
      <c r="G779" s="20"/>
      <c r="H779" s="20"/>
      <c r="I779" s="104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3">
      <c r="A780" s="20"/>
      <c r="B780" s="20"/>
      <c r="C780" s="20"/>
      <c r="D780" s="20"/>
      <c r="E780" s="20"/>
      <c r="F780" s="20"/>
      <c r="G780" s="20"/>
      <c r="H780" s="20"/>
      <c r="I780" s="104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3">
      <c r="A781" s="20"/>
      <c r="B781" s="20"/>
      <c r="C781" s="20"/>
      <c r="D781" s="20"/>
      <c r="E781" s="20"/>
      <c r="F781" s="20"/>
      <c r="G781" s="20"/>
      <c r="H781" s="20"/>
      <c r="I781" s="104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3">
      <c r="A782" s="20"/>
      <c r="B782" s="20"/>
      <c r="C782" s="20"/>
      <c r="D782" s="20"/>
      <c r="E782" s="20"/>
      <c r="F782" s="20"/>
      <c r="G782" s="20"/>
      <c r="H782" s="20"/>
      <c r="I782" s="104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3">
      <c r="A783" s="20"/>
      <c r="B783" s="20"/>
      <c r="C783" s="20"/>
      <c r="D783" s="20"/>
      <c r="E783" s="20"/>
      <c r="F783" s="20"/>
      <c r="G783" s="20"/>
      <c r="H783" s="20"/>
      <c r="I783" s="104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3">
      <c r="A784" s="20"/>
      <c r="B784" s="20"/>
      <c r="C784" s="20"/>
      <c r="D784" s="20"/>
      <c r="E784" s="20"/>
      <c r="F784" s="20"/>
      <c r="G784" s="20"/>
      <c r="H784" s="20"/>
      <c r="I784" s="104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3">
      <c r="A785" s="20"/>
      <c r="B785" s="20"/>
      <c r="C785" s="20"/>
      <c r="D785" s="20"/>
      <c r="E785" s="20"/>
      <c r="F785" s="20"/>
      <c r="G785" s="20"/>
      <c r="H785" s="20"/>
      <c r="I785" s="104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3">
      <c r="A786" s="20"/>
      <c r="B786" s="20"/>
      <c r="C786" s="20"/>
      <c r="D786" s="20"/>
      <c r="E786" s="20"/>
      <c r="F786" s="20"/>
      <c r="G786" s="20"/>
      <c r="H786" s="20"/>
      <c r="I786" s="104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3">
      <c r="A787" s="20"/>
      <c r="B787" s="20"/>
      <c r="C787" s="20"/>
      <c r="D787" s="20"/>
      <c r="E787" s="20"/>
      <c r="F787" s="20"/>
      <c r="G787" s="20"/>
      <c r="H787" s="20"/>
      <c r="I787" s="104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3">
      <c r="A788" s="20"/>
      <c r="B788" s="20"/>
      <c r="C788" s="20"/>
      <c r="D788" s="20"/>
      <c r="E788" s="20"/>
      <c r="F788" s="20"/>
      <c r="G788" s="20"/>
      <c r="H788" s="20"/>
      <c r="I788" s="104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3">
      <c r="A789" s="20"/>
      <c r="B789" s="20"/>
      <c r="C789" s="20"/>
      <c r="D789" s="20"/>
      <c r="E789" s="20"/>
      <c r="F789" s="20"/>
      <c r="G789" s="20"/>
      <c r="H789" s="20"/>
      <c r="I789" s="104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3">
      <c r="A790" s="20"/>
      <c r="B790" s="20"/>
      <c r="C790" s="20"/>
      <c r="D790" s="20"/>
      <c r="E790" s="20"/>
      <c r="F790" s="20"/>
      <c r="G790" s="20"/>
      <c r="H790" s="20"/>
      <c r="I790" s="104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3">
      <c r="A791" s="20"/>
      <c r="B791" s="20"/>
      <c r="C791" s="20"/>
      <c r="D791" s="20"/>
      <c r="E791" s="20"/>
      <c r="F791" s="20"/>
      <c r="G791" s="20"/>
      <c r="H791" s="20"/>
      <c r="I791" s="104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3">
      <c r="A792" s="20"/>
      <c r="B792" s="20"/>
      <c r="C792" s="20"/>
      <c r="D792" s="20"/>
      <c r="E792" s="20"/>
      <c r="F792" s="20"/>
      <c r="G792" s="20"/>
      <c r="H792" s="20"/>
      <c r="I792" s="104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3">
      <c r="A793" s="20"/>
      <c r="B793" s="20"/>
      <c r="C793" s="20"/>
      <c r="D793" s="20"/>
      <c r="E793" s="20"/>
      <c r="F793" s="20"/>
      <c r="G793" s="20"/>
      <c r="H793" s="20"/>
      <c r="I793" s="104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3">
      <c r="A794" s="20"/>
      <c r="B794" s="20"/>
      <c r="C794" s="20"/>
      <c r="D794" s="20"/>
      <c r="E794" s="20"/>
      <c r="F794" s="20"/>
      <c r="G794" s="20"/>
      <c r="H794" s="20"/>
      <c r="I794" s="104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3">
      <c r="A795" s="20"/>
      <c r="B795" s="20"/>
      <c r="C795" s="20"/>
      <c r="D795" s="20"/>
      <c r="E795" s="20"/>
      <c r="F795" s="20"/>
      <c r="G795" s="20"/>
      <c r="H795" s="20"/>
      <c r="I795" s="104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3">
      <c r="A796" s="20"/>
      <c r="B796" s="20"/>
      <c r="C796" s="20"/>
      <c r="D796" s="20"/>
      <c r="E796" s="20"/>
      <c r="F796" s="20"/>
      <c r="G796" s="20"/>
      <c r="H796" s="20"/>
      <c r="I796" s="104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3">
      <c r="A797" s="20"/>
      <c r="B797" s="20"/>
      <c r="C797" s="20"/>
      <c r="D797" s="20"/>
      <c r="E797" s="20"/>
      <c r="F797" s="20"/>
      <c r="G797" s="20"/>
      <c r="H797" s="20"/>
      <c r="I797" s="104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3">
      <c r="A798" s="20"/>
      <c r="B798" s="20"/>
      <c r="C798" s="20"/>
      <c r="D798" s="20"/>
      <c r="E798" s="20"/>
      <c r="F798" s="20"/>
      <c r="G798" s="20"/>
      <c r="H798" s="20"/>
      <c r="I798" s="104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3">
      <c r="A799" s="20"/>
      <c r="B799" s="20"/>
      <c r="C799" s="20"/>
      <c r="D799" s="20"/>
      <c r="E799" s="20"/>
      <c r="F799" s="20"/>
      <c r="G799" s="20"/>
      <c r="H799" s="20"/>
      <c r="I799" s="104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3">
      <c r="A800" s="20"/>
      <c r="B800" s="20"/>
      <c r="C800" s="20"/>
      <c r="D800" s="20"/>
      <c r="E800" s="20"/>
      <c r="F800" s="20"/>
      <c r="G800" s="20"/>
      <c r="H800" s="20"/>
      <c r="I800" s="104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9:F996" xr:uid="{00000000-0002-0000-0300-000000000000}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Normal="100" workbookViewId="0"/>
  </sheetViews>
  <sheetFormatPr defaultColWidth="14.44140625" defaultRowHeight="14.4" x14ac:dyDescent="0.3"/>
  <cols>
    <col min="1" max="1" width="10.33203125" style="13" customWidth="1"/>
    <col min="2" max="2" width="15.44140625" style="13" customWidth="1"/>
    <col min="3" max="3" width="22.109375" style="13" customWidth="1"/>
    <col min="4" max="6" width="10.33203125" style="13" customWidth="1"/>
    <col min="7" max="7" width="11.33203125" style="13" customWidth="1"/>
    <col min="8" max="8" width="11.6640625" style="13" customWidth="1"/>
    <col min="9" max="9" width="30.109375" style="13" customWidth="1"/>
    <col min="10" max="26" width="9.109375" style="13" customWidth="1"/>
  </cols>
  <sheetData>
    <row r="1" spans="1:26" ht="25.5" customHeight="1" x14ac:dyDescent="0.4">
      <c r="A1" s="20"/>
      <c r="B1" s="1" t="s">
        <v>205</v>
      </c>
      <c r="C1" s="1"/>
      <c r="D1" s="1"/>
      <c r="E1" s="1"/>
      <c r="F1" s="1"/>
      <c r="G1" s="1"/>
      <c r="H1" s="1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25" customHeight="1" x14ac:dyDescent="0.3">
      <c r="A2" s="105"/>
      <c r="B2" s="105"/>
      <c r="C2" s="20"/>
      <c r="D2" s="20"/>
      <c r="E2" s="20"/>
      <c r="F2" s="20"/>
      <c r="G2" s="20"/>
      <c r="H2" s="106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" customHeight="1" x14ac:dyDescent="0.3">
      <c r="A3" s="20"/>
      <c r="B3" s="23" t="s">
        <v>1</v>
      </c>
      <c r="C3" s="7" t="str">
        <f>Cover!C4</f>
        <v>KICAP</v>
      </c>
      <c r="D3" s="7"/>
      <c r="E3" s="138" t="s">
        <v>3</v>
      </c>
      <c r="F3" s="138"/>
      <c r="G3" s="107" t="s">
        <v>4</v>
      </c>
      <c r="H3" s="108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" customHeight="1" x14ac:dyDescent="0.3">
      <c r="A4" s="20"/>
      <c r="B4" s="23" t="s">
        <v>5</v>
      </c>
      <c r="C4" s="7" t="str">
        <f>Cover!C5</f>
        <v>https://github.com/TuanHoangMinh12/Kiem_Thu_Nhom16</v>
      </c>
      <c r="D4" s="7"/>
      <c r="E4" s="138" t="s">
        <v>6</v>
      </c>
      <c r="F4" s="138"/>
      <c r="G4" s="107"/>
      <c r="H4" s="108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" customHeight="1" x14ac:dyDescent="0.3">
      <c r="A5" s="20"/>
      <c r="B5" s="109" t="s">
        <v>7</v>
      </c>
      <c r="C5" s="7" t="str">
        <f>C4&amp;"_"&amp;"Test Report"&amp;"_"&amp;"v0.1"</f>
        <v>https://github.com/TuanHoangMinh12/Kiem_Thu_Nhom16_Test Report_v0.1</v>
      </c>
      <c r="D5" s="7"/>
      <c r="E5" s="138" t="s">
        <v>8</v>
      </c>
      <c r="F5" s="138"/>
      <c r="G5" s="110">
        <v>46318</v>
      </c>
      <c r="H5" s="111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1.75" customHeight="1" x14ac:dyDescent="0.3">
      <c r="A6" s="105"/>
      <c r="B6" s="109" t="s">
        <v>206</v>
      </c>
      <c r="C6" s="5" t="s">
        <v>207</v>
      </c>
      <c r="D6" s="5"/>
      <c r="E6" s="5"/>
      <c r="F6" s="5"/>
      <c r="G6" s="5"/>
      <c r="H6" s="5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25" customHeight="1" x14ac:dyDescent="0.3">
      <c r="A7" s="105"/>
      <c r="B7" s="26"/>
      <c r="C7" s="112"/>
      <c r="D7" s="20"/>
      <c r="E7" s="20"/>
      <c r="F7" s="20"/>
      <c r="G7" s="20"/>
      <c r="H7" s="106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 x14ac:dyDescent="0.3">
      <c r="A8" s="20"/>
      <c r="B8" s="26"/>
      <c r="C8" s="112"/>
      <c r="D8" s="20"/>
      <c r="E8" s="20"/>
      <c r="F8" s="20"/>
      <c r="G8" s="20"/>
      <c r="H8" s="106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3">
      <c r="A10" s="113"/>
      <c r="B10" s="114" t="s">
        <v>22</v>
      </c>
      <c r="C10" s="115" t="s">
        <v>208</v>
      </c>
      <c r="D10" s="116" t="s">
        <v>209</v>
      </c>
      <c r="E10" s="115" t="s">
        <v>210</v>
      </c>
      <c r="F10" s="115" t="s">
        <v>94</v>
      </c>
      <c r="G10" s="117" t="s">
        <v>93</v>
      </c>
      <c r="H10" s="118" t="s">
        <v>95</v>
      </c>
      <c r="I10" s="118" t="s">
        <v>211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3">
      <c r="A11" s="113"/>
      <c r="B11" s="119">
        <v>1</v>
      </c>
      <c r="C11" s="120" t="str">
        <f>'Shopping Cart'!B2</f>
        <v>ShoppingCart</v>
      </c>
      <c r="D11" s="121">
        <f>'Shopping Cart'!A6</f>
        <v>0</v>
      </c>
      <c r="E11" s="121">
        <f>'Shopping Cart'!B6</f>
        <v>0</v>
      </c>
      <c r="F11" s="121">
        <f>'Shopping Cart'!C6</f>
        <v>30</v>
      </c>
      <c r="G11" s="122">
        <f>'Shopping Cart'!D6</f>
        <v>0</v>
      </c>
      <c r="H11" s="122">
        <f>'Shopping Cart'!E6</f>
        <v>0</v>
      </c>
      <c r="I11" s="123">
        <f>'Shopping Cart'!F6</f>
        <v>30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3">
      <c r="A12" s="113"/>
      <c r="B12" s="119"/>
      <c r="C12" s="120"/>
      <c r="D12" s="121"/>
      <c r="E12" s="121"/>
      <c r="F12" s="121"/>
      <c r="G12" s="122"/>
      <c r="H12" s="122"/>
      <c r="I12" s="12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3">
      <c r="A13" s="113"/>
      <c r="B13" s="119"/>
      <c r="C13" s="120"/>
      <c r="D13" s="121"/>
      <c r="E13" s="121"/>
      <c r="F13" s="121"/>
      <c r="G13" s="121"/>
      <c r="H13" s="121"/>
      <c r="I13" s="123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3">
      <c r="A14" s="113"/>
      <c r="B14" s="119"/>
      <c r="C14" s="120"/>
      <c r="D14" s="121"/>
      <c r="E14" s="121"/>
      <c r="F14" s="121"/>
      <c r="G14" s="122"/>
      <c r="H14" s="122"/>
      <c r="I14" s="12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3">
      <c r="A15" s="113"/>
      <c r="B15" s="124"/>
      <c r="C15" s="125" t="s">
        <v>212</v>
      </c>
      <c r="D15" s="126">
        <f t="shared" ref="D15:I15" si="0">SUM(D9:D14)</f>
        <v>0</v>
      </c>
      <c r="E15" s="126">
        <f t="shared" si="0"/>
        <v>0</v>
      </c>
      <c r="F15" s="126">
        <f t="shared" si="0"/>
        <v>30</v>
      </c>
      <c r="G15" s="126">
        <f t="shared" si="0"/>
        <v>0</v>
      </c>
      <c r="H15" s="127">
        <f t="shared" si="0"/>
        <v>0</v>
      </c>
      <c r="I15" s="127">
        <f t="shared" si="0"/>
        <v>30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3">
      <c r="A16" s="20"/>
      <c r="B16" s="128"/>
      <c r="C16" s="20"/>
      <c r="D16" s="129"/>
      <c r="E16" s="130"/>
      <c r="F16" s="130"/>
      <c r="G16" s="130"/>
      <c r="H16" s="13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3">
      <c r="A17" s="20"/>
      <c r="B17" s="20"/>
      <c r="C17" s="18" t="s">
        <v>213</v>
      </c>
      <c r="D17" s="20"/>
      <c r="E17" s="131">
        <f>IF((I15-H15-G15)=0,0,(D15+E15)*100/(I15-H15-G15))</f>
        <v>0</v>
      </c>
      <c r="F17" s="20" t="s">
        <v>214</v>
      </c>
      <c r="G17" s="20"/>
      <c r="H17" s="92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3">
      <c r="A18" s="20"/>
      <c r="B18" s="20"/>
      <c r="C18" s="18" t="s">
        <v>215</v>
      </c>
      <c r="D18" s="20"/>
      <c r="E18" s="131">
        <f>IF((D15+E15)=0,0,D15*100/(D15+E15))</f>
        <v>0</v>
      </c>
      <c r="F18" s="20" t="s">
        <v>214</v>
      </c>
      <c r="G18" s="20"/>
      <c r="H18" s="92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3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3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3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3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3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3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3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3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 x14ac:dyDescent="0.3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 x14ac:dyDescent="0.3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4"/>
  <sheetViews>
    <sheetView zoomScaleNormal="100" workbookViewId="0"/>
  </sheetViews>
  <sheetFormatPr defaultColWidth="8.6640625" defaultRowHeight="14.4" x14ac:dyDescent="0.3"/>
  <cols>
    <col min="1" max="1" width="2" style="13" customWidth="1"/>
    <col min="2" max="2" width="14" style="13" customWidth="1"/>
    <col min="3" max="3" width="26" style="13" customWidth="1"/>
    <col min="4" max="4" width="48" style="13" customWidth="1"/>
    <col min="5" max="5" width="10" style="13" customWidth="1"/>
    <col min="6" max="6" width="11" style="13" customWidth="1"/>
    <col min="7" max="7" width="44" style="13" customWidth="1"/>
  </cols>
  <sheetData>
    <row r="1" spans="2:7" ht="19.5" customHeight="1" x14ac:dyDescent="0.35">
      <c r="B1" s="132" t="s">
        <v>216</v>
      </c>
    </row>
    <row r="3" spans="2:7" ht="30" customHeight="1" x14ac:dyDescent="0.3">
      <c r="B3" s="133" t="s">
        <v>217</v>
      </c>
      <c r="C3" s="139" t="s">
        <v>218</v>
      </c>
      <c r="D3" s="139"/>
      <c r="E3" s="139"/>
      <c r="F3" s="139"/>
      <c r="G3" s="139"/>
    </row>
    <row r="4" spans="2:7" ht="30" customHeight="1" x14ac:dyDescent="0.3">
      <c r="B4" s="133" t="s">
        <v>219</v>
      </c>
      <c r="C4" s="139" t="s">
        <v>220</v>
      </c>
      <c r="D4" s="139"/>
      <c r="E4" s="139"/>
      <c r="F4" s="139"/>
      <c r="G4" s="139"/>
    </row>
    <row r="5" spans="2:7" ht="30" customHeight="1" x14ac:dyDescent="0.3">
      <c r="B5" s="133" t="s">
        <v>221</v>
      </c>
      <c r="C5" s="139" t="s">
        <v>222</v>
      </c>
      <c r="D5" s="139"/>
      <c r="E5" s="139"/>
      <c r="F5" s="139"/>
      <c r="G5" s="139"/>
    </row>
    <row r="6" spans="2:7" ht="30" customHeight="1" x14ac:dyDescent="0.3">
      <c r="B6" s="133" t="s">
        <v>223</v>
      </c>
      <c r="C6" s="139" t="s">
        <v>224</v>
      </c>
      <c r="D6" s="139"/>
      <c r="E6" s="139"/>
      <c r="F6" s="139"/>
      <c r="G6" s="139"/>
    </row>
    <row r="7" spans="2:7" ht="30" customHeight="1" x14ac:dyDescent="0.3">
      <c r="B7" s="133" t="s">
        <v>225</v>
      </c>
      <c r="C7" s="139" t="s">
        <v>226</v>
      </c>
      <c r="D7" s="139"/>
      <c r="E7" s="139"/>
      <c r="F7" s="139"/>
      <c r="G7" s="139"/>
    </row>
    <row r="8" spans="2:7" ht="30" customHeight="1" x14ac:dyDescent="0.3">
      <c r="B8" s="133" t="s">
        <v>227</v>
      </c>
      <c r="C8" s="139" t="s">
        <v>228</v>
      </c>
      <c r="D8" s="139"/>
      <c r="E8" s="139"/>
      <c r="F8" s="139"/>
      <c r="G8" s="139"/>
    </row>
    <row r="10" spans="2:7" ht="15" customHeight="1" x14ac:dyDescent="0.3">
      <c r="B10" s="133" t="s">
        <v>229</v>
      </c>
    </row>
    <row r="11" spans="2:7" ht="15" customHeight="1" x14ac:dyDescent="0.3">
      <c r="B11" s="134" t="s">
        <v>230</v>
      </c>
    </row>
    <row r="12" spans="2:7" ht="15" customHeight="1" x14ac:dyDescent="0.3">
      <c r="B12" s="134" t="s">
        <v>231</v>
      </c>
    </row>
    <row r="13" spans="2:7" ht="15" customHeight="1" x14ac:dyDescent="0.3">
      <c r="B13" s="134" t="s">
        <v>232</v>
      </c>
    </row>
    <row r="14" spans="2:7" ht="15" customHeight="1" x14ac:dyDescent="0.3">
      <c r="B14" s="134" t="s">
        <v>233</v>
      </c>
    </row>
    <row r="15" spans="2:7" ht="15" customHeight="1" x14ac:dyDescent="0.3">
      <c r="B15" s="134" t="s">
        <v>234</v>
      </c>
    </row>
    <row r="16" spans="2:7" ht="15" customHeight="1" x14ac:dyDescent="0.3">
      <c r="B16" s="134" t="s">
        <v>235</v>
      </c>
    </row>
    <row r="17" spans="2:7" ht="15" customHeight="1" x14ac:dyDescent="0.3">
      <c r="B17" s="134" t="s">
        <v>236</v>
      </c>
    </row>
    <row r="18" spans="2:7" ht="15" customHeight="1" x14ac:dyDescent="0.3">
      <c r="B18" s="134" t="s">
        <v>237</v>
      </c>
    </row>
    <row r="20" spans="2:7" ht="15" customHeight="1" x14ac:dyDescent="0.3">
      <c r="B20" s="135" t="s">
        <v>22</v>
      </c>
      <c r="C20" s="135" t="s">
        <v>238</v>
      </c>
      <c r="D20" s="135" t="s">
        <v>239</v>
      </c>
      <c r="E20" s="135" t="s">
        <v>240</v>
      </c>
      <c r="F20" s="135" t="s">
        <v>241</v>
      </c>
      <c r="G20" s="135" t="s">
        <v>242</v>
      </c>
    </row>
    <row r="21" spans="2:7" ht="30" customHeight="1" x14ac:dyDescent="0.3">
      <c r="B21" s="136">
        <v>1</v>
      </c>
      <c r="C21" s="136" t="s">
        <v>204</v>
      </c>
      <c r="D21" s="136" t="s">
        <v>104</v>
      </c>
      <c r="E21" s="136" t="s">
        <v>243</v>
      </c>
      <c r="F21" s="136" t="s">
        <v>244</v>
      </c>
      <c r="G21" s="136"/>
    </row>
    <row r="22" spans="2:7" ht="30" customHeight="1" x14ac:dyDescent="0.3">
      <c r="B22" s="136">
        <v>2</v>
      </c>
      <c r="C22" s="136" t="s">
        <v>245</v>
      </c>
      <c r="D22" s="136" t="s">
        <v>108</v>
      </c>
      <c r="E22" s="136" t="s">
        <v>246</v>
      </c>
      <c r="F22" s="136" t="s">
        <v>22</v>
      </c>
      <c r="G22" s="136" t="s">
        <v>247</v>
      </c>
    </row>
    <row r="23" spans="2:7" ht="30" customHeight="1" x14ac:dyDescent="0.3">
      <c r="B23" s="136">
        <v>3</v>
      </c>
      <c r="C23" s="136" t="s">
        <v>248</v>
      </c>
      <c r="D23" s="136" t="s">
        <v>112</v>
      </c>
      <c r="E23" s="136" t="s">
        <v>243</v>
      </c>
      <c r="F23" s="136" t="s">
        <v>244</v>
      </c>
      <c r="G23" s="136"/>
    </row>
    <row r="24" spans="2:7" ht="30" customHeight="1" x14ac:dyDescent="0.3">
      <c r="B24" s="136">
        <v>4</v>
      </c>
      <c r="C24" s="136" t="s">
        <v>121</v>
      </c>
      <c r="D24" s="136" t="s">
        <v>115</v>
      </c>
      <c r="E24" s="136" t="s">
        <v>243</v>
      </c>
      <c r="F24" s="136" t="s">
        <v>244</v>
      </c>
      <c r="G24" s="136"/>
    </row>
    <row r="25" spans="2:7" ht="30" customHeight="1" x14ac:dyDescent="0.3">
      <c r="B25" s="136">
        <v>5</v>
      </c>
      <c r="C25" s="136" t="s">
        <v>249</v>
      </c>
      <c r="D25" s="136" t="s">
        <v>118</v>
      </c>
      <c r="E25" s="136" t="s">
        <v>250</v>
      </c>
      <c r="F25" s="136" t="s">
        <v>244</v>
      </c>
      <c r="G25" s="136"/>
    </row>
    <row r="26" spans="2:7" ht="30" customHeight="1" x14ac:dyDescent="0.3">
      <c r="B26" s="136">
        <v>6</v>
      </c>
      <c r="C26" s="136" t="s">
        <v>251</v>
      </c>
      <c r="D26" s="136" t="s">
        <v>122</v>
      </c>
      <c r="E26" s="136" t="s">
        <v>250</v>
      </c>
      <c r="F26" s="136" t="s">
        <v>244</v>
      </c>
      <c r="G26" s="136"/>
    </row>
    <row r="27" spans="2:7" ht="30" customHeight="1" x14ac:dyDescent="0.3">
      <c r="B27" s="136">
        <v>7</v>
      </c>
      <c r="C27" s="136" t="s">
        <v>252</v>
      </c>
      <c r="D27" s="136" t="s">
        <v>125</v>
      </c>
      <c r="E27" s="136" t="s">
        <v>243</v>
      </c>
      <c r="F27" s="136" t="s">
        <v>244</v>
      </c>
      <c r="G27" s="136"/>
    </row>
    <row r="28" spans="2:7" ht="27.75" customHeight="1" x14ac:dyDescent="0.3">
      <c r="B28" s="136">
        <v>8</v>
      </c>
      <c r="C28" s="136" t="s">
        <v>253</v>
      </c>
      <c r="D28" s="136" t="s">
        <v>128</v>
      </c>
      <c r="E28" s="136" t="s">
        <v>243</v>
      </c>
      <c r="F28" s="136" t="s">
        <v>244</v>
      </c>
      <c r="G28" s="136"/>
    </row>
    <row r="29" spans="2:7" ht="27.75" customHeight="1" x14ac:dyDescent="0.3">
      <c r="B29" s="136">
        <v>9</v>
      </c>
      <c r="C29" s="136" t="s">
        <v>254</v>
      </c>
      <c r="D29" s="136" t="s">
        <v>131</v>
      </c>
      <c r="E29" s="136" t="s">
        <v>243</v>
      </c>
      <c r="F29" s="136" t="s">
        <v>244</v>
      </c>
      <c r="G29" s="136"/>
    </row>
    <row r="30" spans="2:7" ht="27.75" customHeight="1" x14ac:dyDescent="0.3">
      <c r="B30" s="136">
        <v>10</v>
      </c>
      <c r="C30" s="136" t="s">
        <v>181</v>
      </c>
      <c r="D30" s="136" t="s">
        <v>134</v>
      </c>
      <c r="E30" s="136" t="s">
        <v>243</v>
      </c>
      <c r="F30" s="136" t="s">
        <v>244</v>
      </c>
      <c r="G30" s="136"/>
    </row>
    <row r="31" spans="2:7" ht="27.75" customHeight="1" x14ac:dyDescent="0.3">
      <c r="B31" s="136">
        <v>11</v>
      </c>
      <c r="C31" s="136" t="s">
        <v>255</v>
      </c>
      <c r="D31" s="136" t="s">
        <v>137</v>
      </c>
      <c r="E31" s="136" t="s">
        <v>250</v>
      </c>
      <c r="F31" s="136" t="s">
        <v>256</v>
      </c>
      <c r="G31" s="136" t="s">
        <v>257</v>
      </c>
    </row>
    <row r="32" spans="2:7" ht="27.75" customHeight="1" x14ac:dyDescent="0.3">
      <c r="B32" s="136">
        <v>12</v>
      </c>
      <c r="C32" s="136" t="s">
        <v>258</v>
      </c>
      <c r="D32" s="136" t="s">
        <v>141</v>
      </c>
      <c r="E32" s="136" t="s">
        <v>246</v>
      </c>
      <c r="F32" s="136" t="s">
        <v>22</v>
      </c>
      <c r="G32" s="136" t="s">
        <v>259</v>
      </c>
    </row>
    <row r="33" spans="2:7" ht="27.75" customHeight="1" x14ac:dyDescent="0.3">
      <c r="B33" s="136">
        <v>13</v>
      </c>
      <c r="C33" s="136" t="s">
        <v>260</v>
      </c>
      <c r="D33" s="136" t="s">
        <v>145</v>
      </c>
      <c r="E33" s="136" t="s">
        <v>243</v>
      </c>
      <c r="F33" s="136" t="s">
        <v>244</v>
      </c>
      <c r="G33" s="136"/>
    </row>
    <row r="34" spans="2:7" ht="27.75" customHeight="1" x14ac:dyDescent="0.3">
      <c r="B34" s="136">
        <v>14</v>
      </c>
      <c r="C34" s="136" t="s">
        <v>154</v>
      </c>
      <c r="D34" s="136" t="s">
        <v>148</v>
      </c>
      <c r="E34" s="136" t="s">
        <v>243</v>
      </c>
      <c r="F34" s="136" t="s">
        <v>244</v>
      </c>
      <c r="G34" s="136" t="s">
        <v>261</v>
      </c>
    </row>
    <row r="35" spans="2:7" ht="27.75" customHeight="1" x14ac:dyDescent="0.3">
      <c r="B35" s="136">
        <v>15</v>
      </c>
      <c r="C35" s="136" t="s">
        <v>262</v>
      </c>
      <c r="D35" s="136" t="s">
        <v>151</v>
      </c>
      <c r="E35" s="136" t="s">
        <v>243</v>
      </c>
      <c r="F35" s="136" t="s">
        <v>244</v>
      </c>
      <c r="G35" s="136" t="s">
        <v>261</v>
      </c>
    </row>
    <row r="36" spans="2:7" ht="27.75" customHeight="1" x14ac:dyDescent="0.3">
      <c r="B36" s="136">
        <v>16</v>
      </c>
      <c r="C36" s="136" t="s">
        <v>263</v>
      </c>
      <c r="D36" s="136" t="s">
        <v>155</v>
      </c>
      <c r="E36" s="136" t="s">
        <v>243</v>
      </c>
      <c r="F36" s="136" t="s">
        <v>244</v>
      </c>
      <c r="G36" s="136" t="s">
        <v>261</v>
      </c>
    </row>
    <row r="37" spans="2:7" ht="27.75" customHeight="1" x14ac:dyDescent="0.3">
      <c r="B37" s="136">
        <v>17</v>
      </c>
      <c r="C37" s="136" t="s">
        <v>264</v>
      </c>
      <c r="D37" s="136" t="s">
        <v>159</v>
      </c>
      <c r="E37" s="136" t="s">
        <v>243</v>
      </c>
      <c r="F37" s="136" t="s">
        <v>244</v>
      </c>
      <c r="G37" s="136" t="s">
        <v>261</v>
      </c>
    </row>
    <row r="38" spans="2:7" ht="27.75" customHeight="1" x14ac:dyDescent="0.3">
      <c r="B38" s="136">
        <v>18</v>
      </c>
      <c r="C38" s="136" t="s">
        <v>265</v>
      </c>
      <c r="D38" s="136" t="s">
        <v>162</v>
      </c>
      <c r="E38" s="136" t="s">
        <v>243</v>
      </c>
      <c r="F38" s="136" t="s">
        <v>244</v>
      </c>
      <c r="G38" s="136" t="s">
        <v>261</v>
      </c>
    </row>
    <row r="39" spans="2:7" ht="27.75" customHeight="1" x14ac:dyDescent="0.3">
      <c r="B39" s="136">
        <v>19</v>
      </c>
      <c r="C39" s="136" t="s">
        <v>266</v>
      </c>
      <c r="D39" s="136" t="s">
        <v>165</v>
      </c>
      <c r="E39" s="136" t="s">
        <v>243</v>
      </c>
      <c r="F39" s="136" t="s">
        <v>244</v>
      </c>
      <c r="G39" s="136" t="s">
        <v>261</v>
      </c>
    </row>
    <row r="40" spans="2:7" ht="27.75" customHeight="1" x14ac:dyDescent="0.3">
      <c r="B40" s="136">
        <v>20</v>
      </c>
      <c r="C40" s="136" t="s">
        <v>267</v>
      </c>
      <c r="D40" s="136" t="s">
        <v>168</v>
      </c>
      <c r="E40" s="136" t="s">
        <v>243</v>
      </c>
      <c r="F40" s="136" t="s">
        <v>244</v>
      </c>
      <c r="G40" s="136" t="s">
        <v>261</v>
      </c>
    </row>
    <row r="41" spans="2:7" ht="27.75" customHeight="1" x14ac:dyDescent="0.3">
      <c r="B41" s="136">
        <v>21</v>
      </c>
      <c r="C41" s="136" t="s">
        <v>268</v>
      </c>
      <c r="D41" s="136" t="s">
        <v>171</v>
      </c>
      <c r="E41" s="136" t="s">
        <v>243</v>
      </c>
      <c r="F41" s="136" t="s">
        <v>244</v>
      </c>
      <c r="G41" s="136" t="s">
        <v>261</v>
      </c>
    </row>
    <row r="42" spans="2:7" ht="27.75" customHeight="1" x14ac:dyDescent="0.3">
      <c r="B42" s="136">
        <v>22</v>
      </c>
      <c r="C42" s="136" t="s">
        <v>269</v>
      </c>
      <c r="D42" s="136" t="s">
        <v>174</v>
      </c>
      <c r="E42" s="136" t="s">
        <v>250</v>
      </c>
      <c r="F42" s="136" t="s">
        <v>256</v>
      </c>
      <c r="G42" s="136" t="s">
        <v>270</v>
      </c>
    </row>
    <row r="43" spans="2:7" ht="27.75" customHeight="1" x14ac:dyDescent="0.3">
      <c r="B43" s="136">
        <v>23</v>
      </c>
      <c r="C43" s="136" t="s">
        <v>271</v>
      </c>
      <c r="D43" s="136" t="s">
        <v>178</v>
      </c>
      <c r="E43" s="136" t="s">
        <v>243</v>
      </c>
      <c r="F43" s="136" t="s">
        <v>244</v>
      </c>
      <c r="G43" s="136"/>
    </row>
    <row r="44" spans="2:7" ht="27.75" customHeight="1" x14ac:dyDescent="0.3">
      <c r="B44" s="136">
        <v>24</v>
      </c>
      <c r="C44" s="136" t="s">
        <v>272</v>
      </c>
      <c r="D44" s="136" t="s">
        <v>182</v>
      </c>
      <c r="E44" s="136" t="s">
        <v>243</v>
      </c>
      <c r="F44" s="136" t="s">
        <v>244</v>
      </c>
      <c r="G44" s="136"/>
    </row>
    <row r="45" spans="2:7" ht="30" customHeight="1" x14ac:dyDescent="0.3">
      <c r="B45" s="136">
        <v>25</v>
      </c>
      <c r="C45" s="136" t="s">
        <v>273</v>
      </c>
      <c r="D45" s="136" t="s">
        <v>185</v>
      </c>
      <c r="E45" s="136" t="s">
        <v>243</v>
      </c>
      <c r="F45" s="136" t="s">
        <v>244</v>
      </c>
      <c r="G45" s="136"/>
    </row>
    <row r="46" spans="2:7" ht="27.75" customHeight="1" x14ac:dyDescent="0.3">
      <c r="B46" s="136">
        <v>26</v>
      </c>
      <c r="C46" s="136" t="s">
        <v>274</v>
      </c>
      <c r="D46" s="136" t="s">
        <v>188</v>
      </c>
      <c r="E46" s="136" t="s">
        <v>250</v>
      </c>
      <c r="F46" s="136" t="s">
        <v>244</v>
      </c>
      <c r="G46" s="136"/>
    </row>
    <row r="47" spans="2:7" ht="30" customHeight="1" x14ac:dyDescent="0.3">
      <c r="B47" s="136">
        <v>27</v>
      </c>
      <c r="C47" s="136" t="s">
        <v>275</v>
      </c>
      <c r="D47" s="136" t="s">
        <v>191</v>
      </c>
      <c r="E47" s="136" t="s">
        <v>246</v>
      </c>
      <c r="F47" s="136" t="s">
        <v>256</v>
      </c>
      <c r="G47" s="136" t="s">
        <v>276</v>
      </c>
    </row>
    <row r="48" spans="2:7" ht="30" customHeight="1" x14ac:dyDescent="0.3">
      <c r="B48" s="136">
        <v>28</v>
      </c>
      <c r="C48" s="136" t="s">
        <v>277</v>
      </c>
      <c r="D48" s="136" t="s">
        <v>195</v>
      </c>
      <c r="E48" s="136" t="s">
        <v>250</v>
      </c>
      <c r="F48" s="136" t="s">
        <v>244</v>
      </c>
      <c r="G48" s="136"/>
    </row>
    <row r="49" spans="2:7" ht="27.75" customHeight="1" x14ac:dyDescent="0.3">
      <c r="B49" s="136">
        <v>29</v>
      </c>
      <c r="C49" s="136" t="s">
        <v>278</v>
      </c>
      <c r="D49" s="136" t="s">
        <v>198</v>
      </c>
      <c r="E49" s="136" t="s">
        <v>243</v>
      </c>
      <c r="F49" s="136" t="s">
        <v>244</v>
      </c>
      <c r="G49" s="136"/>
    </row>
    <row r="50" spans="2:7" ht="27.75" customHeight="1" x14ac:dyDescent="0.3">
      <c r="B50" s="136">
        <v>30</v>
      </c>
      <c r="C50" s="136" t="s">
        <v>279</v>
      </c>
      <c r="D50" s="136" t="s">
        <v>201</v>
      </c>
      <c r="E50" s="136" t="s">
        <v>250</v>
      </c>
      <c r="F50" s="136" t="s">
        <v>244</v>
      </c>
      <c r="G50" s="136" t="s">
        <v>280</v>
      </c>
    </row>
    <row r="52" spans="2:7" ht="15" customHeight="1" x14ac:dyDescent="0.3">
      <c r="C52" s="137" t="s">
        <v>281</v>
      </c>
      <c r="E52" s="134">
        <f>COUNTIF(F21:F50,"Yes")</f>
        <v>25</v>
      </c>
    </row>
    <row r="53" spans="2:7" ht="15" customHeight="1" x14ac:dyDescent="0.3">
      <c r="C53" s="137" t="s">
        <v>282</v>
      </c>
      <c r="E53" s="134">
        <f>COUNTIF(F21:F50,"Partial")</f>
        <v>3</v>
      </c>
    </row>
    <row r="54" spans="2:7" ht="15" customHeight="1" x14ac:dyDescent="0.3">
      <c r="C54" s="137" t="s">
        <v>283</v>
      </c>
      <c r="E54" s="134">
        <f>COUNTIF(F21:F50,"No")</f>
        <v>2</v>
      </c>
    </row>
  </sheetData>
  <mergeCells count="6">
    <mergeCell ref="C8:G8"/>
    <mergeCell ref="C3:G3"/>
    <mergeCell ref="C4:G4"/>
    <mergeCell ref="C5:G5"/>
    <mergeCell ref="C6:G6"/>
    <mergeCell ref="C7:G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</vt:lpstr>
      <vt:lpstr>Test case List</vt:lpstr>
      <vt:lpstr>TestDesign</vt:lpstr>
      <vt:lpstr>Shopping Cart</vt:lpstr>
      <vt:lpstr>Test Report</vt:lpstr>
      <vt:lpstr>Automation Plan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Phong</cp:lastModifiedBy>
  <cp:revision>0</cp:revision>
  <dcterms:created xsi:type="dcterms:W3CDTF">2014-07-14T08:56:24Z</dcterms:created>
  <dcterms:modified xsi:type="dcterms:W3CDTF">2026-10-23T12:08:02Z</dcterms:modified>
  <dc:language>en-US</dc:language>
</cp:coreProperties>
</file>